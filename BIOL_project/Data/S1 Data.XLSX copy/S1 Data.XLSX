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1.xml" ContentType="application/vnd.openxmlformats-officedocument.drawing+xml"/>
  <Override PartName="/xl/charts/chart30.xml" ContentType="application/vnd.openxmlformats-officedocument.drawingml.chart+xml"/>
  <Override PartName="/xl/drawings/drawing12.xml" ContentType="application/vnd.openxmlformats-officedocument.drawingml.chartshapes+xml"/>
  <Override PartName="/xl/charts/chart31.xml" ContentType="application/vnd.openxmlformats-officedocument.drawingml.chart+xml"/>
  <Override PartName="/xl/drawings/drawing13.xml" ContentType="application/vnd.openxmlformats-officedocument.drawing+xml"/>
  <Override PartName="/xl/charts/chart32.xml" ContentType="application/vnd.openxmlformats-officedocument.drawingml.chart+xml"/>
  <Override PartName="/xl/drawings/drawing14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5.xml" ContentType="application/vnd.openxmlformats-officedocument.drawing+xml"/>
  <Override PartName="/xl/charts/chart35.xml" ContentType="application/vnd.openxmlformats-officedocument.drawingml.chart+xml"/>
  <Override PartName="/xl/drawings/drawing16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ysmcguire/Downloads/3410524/"/>
    </mc:Choice>
  </mc:AlternateContent>
  <xr:revisionPtr revIDLastSave="0" documentId="13_ncr:1_{DE5FC8D8-47F5-354F-B19F-2A446F97FEE1}" xr6:coauthVersionLast="47" xr6:coauthVersionMax="47" xr10:uidLastSave="{00000000-0000-0000-0000-000000000000}"/>
  <bookViews>
    <workbookView xWindow="3320" yWindow="500" windowWidth="25480" windowHeight="16280" tabRatio="944" firstSheet="2" activeTab="6" xr2:uid="{00000000-000D-0000-FFFF-FFFF00000000}"/>
  </bookViews>
  <sheets>
    <sheet name="Figure 1" sheetId="1" r:id="rId1"/>
    <sheet name="Figure 2" sheetId="5" r:id="rId2"/>
    <sheet name="Figure 3" sheetId="6" r:id="rId3"/>
    <sheet name="Figure 4" sheetId="8" r:id="rId4"/>
    <sheet name="Figure 5" sheetId="7" r:id="rId5"/>
    <sheet name="Figure 6" sheetId="17" r:id="rId6"/>
    <sheet name="Figure 7" sheetId="15" r:id="rId7"/>
    <sheet name="Figure S1" sheetId="2" r:id="rId8"/>
    <sheet name="Figure S2" sheetId="4" r:id="rId9"/>
    <sheet name="Figure S3" sheetId="13" r:id="rId10"/>
    <sheet name="Figure S4" sheetId="12" r:id="rId11"/>
    <sheet name="Figure S7" sheetId="14" r:id="rId12"/>
    <sheet name="Figure S8" sheetId="10" r:id="rId13"/>
    <sheet name="Figure S9" sheetId="11" r:id="rId14"/>
    <sheet name="Figure S11" sheetId="18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2" l="1"/>
  <c r="D11" i="2"/>
  <c r="D20" i="10"/>
  <c r="C91" i="2"/>
  <c r="C90" i="2"/>
  <c r="C89" i="2"/>
  <c r="C88" i="2"/>
  <c r="C87" i="2"/>
  <c r="I23" i="18"/>
  <c r="H23" i="18"/>
  <c r="G23" i="18"/>
  <c r="F23" i="18"/>
  <c r="I22" i="18"/>
  <c r="H22" i="18"/>
  <c r="G22" i="18"/>
  <c r="F22" i="18"/>
  <c r="I21" i="18"/>
  <c r="H21" i="18"/>
  <c r="G21" i="18"/>
  <c r="F21" i="18"/>
  <c r="I20" i="18"/>
  <c r="H20" i="18"/>
  <c r="G20" i="18"/>
  <c r="F20" i="18"/>
  <c r="I19" i="18"/>
  <c r="H19" i="18"/>
  <c r="G19" i="18"/>
  <c r="F19" i="18"/>
  <c r="S18" i="18"/>
  <c r="R18" i="18"/>
  <c r="Q18" i="18"/>
  <c r="P18" i="18"/>
  <c r="M18" i="18"/>
  <c r="L18" i="18"/>
  <c r="I18" i="18"/>
  <c r="H18" i="18"/>
  <c r="P17" i="18" s="1"/>
  <c r="G18" i="18"/>
  <c r="F18" i="18"/>
  <c r="S17" i="18"/>
  <c r="R17" i="18"/>
  <c r="Q17" i="18"/>
  <c r="M17" i="18"/>
  <c r="L17" i="18"/>
  <c r="I17" i="18"/>
  <c r="H17" i="18"/>
  <c r="G17" i="18"/>
  <c r="N16" i="18" s="1"/>
  <c r="F17" i="18"/>
  <c r="I15" i="18"/>
  <c r="R16" i="18" s="1"/>
  <c r="I16" i="18"/>
  <c r="S16" i="18"/>
  <c r="H15" i="18"/>
  <c r="H16" i="18"/>
  <c r="Q16" i="18"/>
  <c r="P16" i="18"/>
  <c r="G15" i="18"/>
  <c r="G16" i="18"/>
  <c r="F15" i="18"/>
  <c r="F16" i="18"/>
  <c r="M16" i="18"/>
  <c r="L16" i="18"/>
  <c r="I11" i="18"/>
  <c r="H11" i="18"/>
  <c r="G11" i="18"/>
  <c r="F11" i="18"/>
  <c r="I10" i="18"/>
  <c r="H10" i="18"/>
  <c r="G10" i="18"/>
  <c r="F10" i="18"/>
  <c r="I9" i="18"/>
  <c r="H9" i="18"/>
  <c r="G9" i="18"/>
  <c r="F9" i="18"/>
  <c r="I8" i="18"/>
  <c r="H8" i="18"/>
  <c r="G8" i="18"/>
  <c r="F8" i="18"/>
  <c r="I7" i="18"/>
  <c r="H7" i="18"/>
  <c r="G7" i="18"/>
  <c r="F7" i="18"/>
  <c r="I6" i="18"/>
  <c r="H6" i="18"/>
  <c r="G6" i="18"/>
  <c r="F6" i="18"/>
  <c r="U5" i="18"/>
  <c r="T5" i="18"/>
  <c r="S5" i="18"/>
  <c r="R5" i="18"/>
  <c r="O5" i="18"/>
  <c r="N5" i="18"/>
  <c r="I5" i="18"/>
  <c r="H5" i="18"/>
  <c r="G5" i="18"/>
  <c r="F5" i="18"/>
  <c r="U4" i="18"/>
  <c r="T4" i="18"/>
  <c r="S4" i="18"/>
  <c r="R4" i="18"/>
  <c r="O4" i="18"/>
  <c r="N4" i="18"/>
  <c r="I4" i="18"/>
  <c r="H4" i="18"/>
  <c r="G4" i="18"/>
  <c r="F4" i="18"/>
  <c r="I3" i="18"/>
  <c r="U3" i="18" s="1"/>
  <c r="T3" i="18"/>
  <c r="H3" i="18"/>
  <c r="S3" i="18"/>
  <c r="R3" i="18"/>
  <c r="G3" i="18"/>
  <c r="F3" i="18"/>
  <c r="O3" i="18"/>
  <c r="N3" i="18"/>
  <c r="Z16" i="17"/>
  <c r="I26" i="17" s="1"/>
  <c r="AA16" i="17"/>
  <c r="AB16" i="17"/>
  <c r="AC16" i="17"/>
  <c r="AD16" i="17"/>
  <c r="AE16" i="17"/>
  <c r="AF16" i="17"/>
  <c r="AG16" i="17"/>
  <c r="Z17" i="17"/>
  <c r="E27" i="17" s="1"/>
  <c r="AA17" i="17"/>
  <c r="AB17" i="17"/>
  <c r="AC17" i="17"/>
  <c r="AD17" i="17"/>
  <c r="AE17" i="17"/>
  <c r="AF17" i="17"/>
  <c r="AG17" i="17"/>
  <c r="Z18" i="17"/>
  <c r="E28" i="17" s="1"/>
  <c r="AA18" i="17"/>
  <c r="AB18" i="17"/>
  <c r="AC18" i="17"/>
  <c r="AD18" i="17"/>
  <c r="AE18" i="17"/>
  <c r="AF18" i="17"/>
  <c r="AG18" i="17"/>
  <c r="Z19" i="17"/>
  <c r="E29" i="17" s="1"/>
  <c r="AA19" i="17"/>
  <c r="AB19" i="17"/>
  <c r="AC19" i="17"/>
  <c r="AD19" i="17"/>
  <c r="AE19" i="17"/>
  <c r="AF19" i="17"/>
  <c r="AG19" i="17"/>
  <c r="Z20" i="17"/>
  <c r="I30" i="17" s="1"/>
  <c r="AA20" i="17"/>
  <c r="AB20" i="17"/>
  <c r="AC20" i="17"/>
  <c r="AD20" i="17"/>
  <c r="AE20" i="17"/>
  <c r="AF20" i="17"/>
  <c r="AG20" i="17"/>
  <c r="Z21" i="17"/>
  <c r="E31" i="17" s="1"/>
  <c r="AA21" i="17"/>
  <c r="AB21" i="17"/>
  <c r="AC21" i="17"/>
  <c r="AD21" i="17"/>
  <c r="AE21" i="17"/>
  <c r="AF21" i="17"/>
  <c r="AG21" i="17"/>
  <c r="Z22" i="17"/>
  <c r="E32" i="17" s="1"/>
  <c r="AA22" i="17"/>
  <c r="AB22" i="17"/>
  <c r="AC22" i="17"/>
  <c r="AD22" i="17"/>
  <c r="AE22" i="17"/>
  <c r="AF22" i="17"/>
  <c r="AG22" i="17"/>
  <c r="Z15" i="17"/>
  <c r="E25" i="17" s="1"/>
  <c r="AA15" i="17"/>
  <c r="AB15" i="17"/>
  <c r="AC15" i="17"/>
  <c r="AD15" i="17"/>
  <c r="AE15" i="17"/>
  <c r="AF15" i="17"/>
  <c r="AG15" i="17"/>
  <c r="R16" i="17"/>
  <c r="H26" i="17" s="1"/>
  <c r="S16" i="17"/>
  <c r="T16" i="17"/>
  <c r="U16" i="17"/>
  <c r="V16" i="17"/>
  <c r="W16" i="17"/>
  <c r="X16" i="17"/>
  <c r="Y16" i="17"/>
  <c r="R17" i="17"/>
  <c r="D27" i="17" s="1"/>
  <c r="S17" i="17"/>
  <c r="T17" i="17"/>
  <c r="U17" i="17"/>
  <c r="V17" i="17"/>
  <c r="W17" i="17"/>
  <c r="X17" i="17"/>
  <c r="Y17" i="17"/>
  <c r="R18" i="17"/>
  <c r="D28" i="17" s="1"/>
  <c r="S18" i="17"/>
  <c r="T18" i="17"/>
  <c r="U18" i="17"/>
  <c r="V18" i="17"/>
  <c r="W18" i="17"/>
  <c r="X18" i="17"/>
  <c r="Y18" i="17"/>
  <c r="R19" i="17"/>
  <c r="D29" i="17" s="1"/>
  <c r="S19" i="17"/>
  <c r="T19" i="17"/>
  <c r="U19" i="17"/>
  <c r="V19" i="17"/>
  <c r="W19" i="17"/>
  <c r="X19" i="17"/>
  <c r="Y19" i="17"/>
  <c r="R20" i="17"/>
  <c r="H30" i="17" s="1"/>
  <c r="S20" i="17"/>
  <c r="T20" i="17"/>
  <c r="U20" i="17"/>
  <c r="V20" i="17"/>
  <c r="W20" i="17"/>
  <c r="X20" i="17"/>
  <c r="Y20" i="17"/>
  <c r="R21" i="17"/>
  <c r="D31" i="17" s="1"/>
  <c r="S21" i="17"/>
  <c r="T21" i="17"/>
  <c r="U21" i="17"/>
  <c r="V21" i="17"/>
  <c r="W21" i="17"/>
  <c r="X21" i="17"/>
  <c r="Y21" i="17"/>
  <c r="R22" i="17"/>
  <c r="D32" i="17" s="1"/>
  <c r="S22" i="17"/>
  <c r="T22" i="17"/>
  <c r="U22" i="17"/>
  <c r="V22" i="17"/>
  <c r="W22" i="17"/>
  <c r="X22" i="17"/>
  <c r="Y22" i="17"/>
  <c r="R15" i="17"/>
  <c r="D25" i="17" s="1"/>
  <c r="S15" i="17"/>
  <c r="T15" i="17"/>
  <c r="U15" i="17"/>
  <c r="V15" i="17"/>
  <c r="W15" i="17"/>
  <c r="X15" i="17"/>
  <c r="Y15" i="17"/>
  <c r="Z6" i="17"/>
  <c r="AA6" i="17"/>
  <c r="AB6" i="17"/>
  <c r="AC6" i="17"/>
  <c r="AD6" i="17"/>
  <c r="AE6" i="17"/>
  <c r="AF6" i="17"/>
  <c r="AG6" i="17"/>
  <c r="Z7" i="17"/>
  <c r="AA7" i="17"/>
  <c r="AB7" i="17"/>
  <c r="AC7" i="17"/>
  <c r="AD7" i="17"/>
  <c r="AE7" i="17"/>
  <c r="AF7" i="17"/>
  <c r="AG7" i="17"/>
  <c r="Z8" i="17"/>
  <c r="AA8" i="17"/>
  <c r="AB8" i="17"/>
  <c r="AC8" i="17"/>
  <c r="AD8" i="17"/>
  <c r="AE8" i="17"/>
  <c r="AF8" i="17"/>
  <c r="AG8" i="17"/>
  <c r="G28" i="17"/>
  <c r="Z9" i="17"/>
  <c r="AA9" i="17"/>
  <c r="AB9" i="17"/>
  <c r="AC9" i="17"/>
  <c r="AD9" i="17"/>
  <c r="AE9" i="17"/>
  <c r="AF9" i="17"/>
  <c r="AG9" i="17"/>
  <c r="Z10" i="17"/>
  <c r="AA10" i="17"/>
  <c r="AB10" i="17"/>
  <c r="AC10" i="17"/>
  <c r="AD10" i="17"/>
  <c r="AE10" i="17"/>
  <c r="AF10" i="17"/>
  <c r="AG10" i="17"/>
  <c r="Z11" i="17"/>
  <c r="AA11" i="17"/>
  <c r="AB11" i="17"/>
  <c r="AC11" i="17"/>
  <c r="AD11" i="17"/>
  <c r="AE11" i="17"/>
  <c r="AF11" i="17"/>
  <c r="AG11" i="17"/>
  <c r="Z12" i="17"/>
  <c r="AA12" i="17"/>
  <c r="AB12" i="17"/>
  <c r="AC12" i="17"/>
  <c r="AD12" i="17"/>
  <c r="AE12" i="17"/>
  <c r="AF12" i="17"/>
  <c r="AG12" i="17"/>
  <c r="G32" i="17"/>
  <c r="Z5" i="17"/>
  <c r="G25" i="17" s="1"/>
  <c r="AA5" i="17"/>
  <c r="AB5" i="17"/>
  <c r="AC5" i="17"/>
  <c r="AD5" i="17"/>
  <c r="AE5" i="17"/>
  <c r="AF5" i="17"/>
  <c r="AG5" i="17"/>
  <c r="R6" i="17"/>
  <c r="B26" i="17" s="1"/>
  <c r="S6" i="17"/>
  <c r="T6" i="17"/>
  <c r="U6" i="17"/>
  <c r="V6" i="17"/>
  <c r="W6" i="17"/>
  <c r="X6" i="17"/>
  <c r="Y6" i="17"/>
  <c r="R7" i="17"/>
  <c r="B27" i="17" s="1"/>
  <c r="S7" i="17"/>
  <c r="T7" i="17"/>
  <c r="U7" i="17"/>
  <c r="V7" i="17"/>
  <c r="W7" i="17"/>
  <c r="X7" i="17"/>
  <c r="Y7" i="17"/>
  <c r="R8" i="17"/>
  <c r="B28" i="17" s="1"/>
  <c r="S8" i="17"/>
  <c r="T8" i="17"/>
  <c r="U8" i="17"/>
  <c r="V8" i="17"/>
  <c r="W8" i="17"/>
  <c r="X8" i="17"/>
  <c r="Y8" i="17"/>
  <c r="R9" i="17"/>
  <c r="B29" i="17" s="1"/>
  <c r="S9" i="17"/>
  <c r="T9" i="17"/>
  <c r="U9" i="17"/>
  <c r="V9" i="17"/>
  <c r="W9" i="17"/>
  <c r="X9" i="17"/>
  <c r="Y9" i="17"/>
  <c r="R10" i="17"/>
  <c r="B30" i="17" s="1"/>
  <c r="S10" i="17"/>
  <c r="T10" i="17"/>
  <c r="U10" i="17"/>
  <c r="V10" i="17"/>
  <c r="W10" i="17"/>
  <c r="X10" i="17"/>
  <c r="Y10" i="17"/>
  <c r="R11" i="17"/>
  <c r="B31" i="17" s="1"/>
  <c r="S11" i="17"/>
  <c r="T11" i="17"/>
  <c r="U11" i="17"/>
  <c r="V11" i="17"/>
  <c r="W11" i="17"/>
  <c r="X11" i="17"/>
  <c r="Y11" i="17"/>
  <c r="R12" i="17"/>
  <c r="B32" i="17" s="1"/>
  <c r="S12" i="17"/>
  <c r="T12" i="17"/>
  <c r="U12" i="17"/>
  <c r="V12" i="17"/>
  <c r="W12" i="17"/>
  <c r="X12" i="17"/>
  <c r="Y12" i="17"/>
  <c r="R5" i="17"/>
  <c r="F25" i="17" s="1"/>
  <c r="S5" i="17"/>
  <c r="T5" i="17"/>
  <c r="U5" i="17"/>
  <c r="V5" i="17"/>
  <c r="W5" i="17"/>
  <c r="X5" i="17"/>
  <c r="Y5" i="17"/>
  <c r="C29" i="17"/>
  <c r="C68" i="7"/>
  <c r="C58" i="7" s="1"/>
  <c r="E82" i="7" s="1"/>
  <c r="G68" i="7"/>
  <c r="G58" i="7"/>
  <c r="F82" i="7" s="1"/>
  <c r="K68" i="7"/>
  <c r="K58" i="7" s="1"/>
  <c r="G82" i="7" s="1"/>
  <c r="C48" i="7"/>
  <c r="B82" i="7" s="1"/>
  <c r="G48" i="7"/>
  <c r="C82" i="7" s="1"/>
  <c r="K48" i="7"/>
  <c r="D82" i="7" s="1"/>
  <c r="C67" i="7"/>
  <c r="C57" i="7"/>
  <c r="E81" i="7" s="1"/>
  <c r="G67" i="7"/>
  <c r="K67" i="7"/>
  <c r="K47" i="7" s="1"/>
  <c r="D81" i="7" s="1"/>
  <c r="K57" i="7"/>
  <c r="G81" i="7" s="1"/>
  <c r="C47" i="7"/>
  <c r="B81" i="7"/>
  <c r="C66" i="7"/>
  <c r="C56" i="7" s="1"/>
  <c r="E80" i="7" s="1"/>
  <c r="G66" i="7"/>
  <c r="G56" i="7"/>
  <c r="F80" i="7" s="1"/>
  <c r="K66" i="7"/>
  <c r="C46" i="7"/>
  <c r="B80" i="7" s="1"/>
  <c r="G46" i="7"/>
  <c r="C80" i="7" s="1"/>
  <c r="C65" i="7"/>
  <c r="C55" i="7"/>
  <c r="E79" i="7" s="1"/>
  <c r="G65" i="7"/>
  <c r="G45" i="7" s="1"/>
  <c r="C79" i="7" s="1"/>
  <c r="K65" i="7"/>
  <c r="K55" i="7"/>
  <c r="G79" i="7" s="1"/>
  <c r="C45" i="7"/>
  <c r="B79" i="7"/>
  <c r="K45" i="7"/>
  <c r="D79" i="7"/>
  <c r="C64" i="7"/>
  <c r="C54" i="7" s="1"/>
  <c r="E78" i="7" s="1"/>
  <c r="G64" i="7"/>
  <c r="G54" i="7"/>
  <c r="F78" i="7" s="1"/>
  <c r="K64" i="7"/>
  <c r="K54" i="7" s="1"/>
  <c r="G78" i="7"/>
  <c r="G44" i="7"/>
  <c r="C78" i="7" s="1"/>
  <c r="K44" i="7"/>
  <c r="D78" i="7" s="1"/>
  <c r="C63" i="7"/>
  <c r="C53" i="7"/>
  <c r="E77" i="7" s="1"/>
  <c r="G63" i="7"/>
  <c r="K63" i="7"/>
  <c r="K43" i="7" s="1"/>
  <c r="D77" i="7" s="1"/>
  <c r="K53" i="7"/>
  <c r="G77" i="7" s="1"/>
  <c r="C43" i="7"/>
  <c r="B77" i="7"/>
  <c r="C62" i="7"/>
  <c r="C52" i="7" s="1"/>
  <c r="E76" i="7"/>
  <c r="G62" i="7"/>
  <c r="G52" i="7"/>
  <c r="F76" i="7" s="1"/>
  <c r="K62" i="7"/>
  <c r="C42" i="7"/>
  <c r="B76" i="7" s="1"/>
  <c r="G42" i="7"/>
  <c r="C76" i="7" s="1"/>
  <c r="C61" i="7"/>
  <c r="C41" i="7" s="1"/>
  <c r="C51" i="7"/>
  <c r="G61" i="7"/>
  <c r="G51" i="7" s="1"/>
  <c r="F75" i="7" s="1"/>
  <c r="K61" i="7"/>
  <c r="K51" i="7"/>
  <c r="G75" i="7" s="1"/>
  <c r="G41" i="7"/>
  <c r="C75" i="7"/>
  <c r="K41" i="7"/>
  <c r="D75" i="7"/>
  <c r="F7" i="15"/>
  <c r="F8" i="15"/>
  <c r="H8" i="15"/>
  <c r="K8" i="15" s="1"/>
  <c r="F9" i="15"/>
  <c r="H9" i="15" s="1"/>
  <c r="K9" i="15"/>
  <c r="F6" i="15"/>
  <c r="H6" i="15"/>
  <c r="K6" i="15" s="1"/>
  <c r="F5" i="15"/>
  <c r="F4" i="15"/>
  <c r="H4" i="15"/>
  <c r="G9" i="15"/>
  <c r="J9" i="15" s="1"/>
  <c r="G8" i="15"/>
  <c r="J8" i="15" s="1"/>
  <c r="G6" i="15"/>
  <c r="J6" i="15" s="1"/>
  <c r="G4" i="15"/>
  <c r="I6" i="15"/>
  <c r="L6" i="15" s="1"/>
  <c r="I8" i="15"/>
  <c r="L8" i="15" s="1"/>
  <c r="I9" i="15"/>
  <c r="L9" i="15" s="1"/>
  <c r="I4" i="15"/>
  <c r="L4" i="15" s="1"/>
  <c r="E66" i="6"/>
  <c r="G66" i="6"/>
  <c r="I66" i="6" s="1"/>
  <c r="E67" i="6"/>
  <c r="E68" i="6"/>
  <c r="F68" i="6" s="1"/>
  <c r="H68" i="6" s="1"/>
  <c r="G68" i="6"/>
  <c r="I68" i="6" s="1"/>
  <c r="E64" i="6"/>
  <c r="G64" i="6"/>
  <c r="I64" i="6" s="1"/>
  <c r="E65" i="6"/>
  <c r="G65" i="6" s="1"/>
  <c r="I65" i="6" s="1"/>
  <c r="G74" i="6" s="1"/>
  <c r="E63" i="6"/>
  <c r="G63" i="6"/>
  <c r="I63" i="6" s="1"/>
  <c r="E62" i="6"/>
  <c r="G62" i="6"/>
  <c r="I62" i="6" s="1"/>
  <c r="E61" i="6"/>
  <c r="E60" i="6"/>
  <c r="F60" i="6" s="1"/>
  <c r="H60" i="6" s="1"/>
  <c r="G60" i="6"/>
  <c r="I60" i="6" s="1"/>
  <c r="E57" i="6"/>
  <c r="G57" i="6"/>
  <c r="E58" i="6"/>
  <c r="G58" i="6" s="1"/>
  <c r="I58" i="6" s="1"/>
  <c r="E59" i="6"/>
  <c r="G59" i="6"/>
  <c r="I59" i="6" s="1"/>
  <c r="F66" i="6"/>
  <c r="H66" i="6"/>
  <c r="F64" i="6"/>
  <c r="H64" i="6" s="1"/>
  <c r="F63" i="6"/>
  <c r="H63" i="6" s="1"/>
  <c r="F62" i="6"/>
  <c r="H62" i="6" s="1"/>
  <c r="E74" i="6" s="1"/>
  <c r="F57" i="6"/>
  <c r="H57" i="6" s="1"/>
  <c r="F58" i="6"/>
  <c r="H58" i="6" s="1"/>
  <c r="F59" i="6"/>
  <c r="H59" i="6" s="1"/>
  <c r="D72" i="6" s="1"/>
  <c r="F65" i="6"/>
  <c r="H65" i="6" s="1"/>
  <c r="H4" i="8"/>
  <c r="K4" i="8" s="1"/>
  <c r="I4" i="8"/>
  <c r="L4" i="8"/>
  <c r="J4" i="8"/>
  <c r="M4" i="8" s="1"/>
  <c r="P4" i="8" s="1"/>
  <c r="H7" i="8"/>
  <c r="K7" i="8" s="1"/>
  <c r="N7" i="8" s="1"/>
  <c r="I7" i="8"/>
  <c r="L7" i="8"/>
  <c r="O7" i="8" s="1"/>
  <c r="J7" i="8"/>
  <c r="M7" i="8" s="1"/>
  <c r="P7" i="8" s="1"/>
  <c r="H6" i="8"/>
  <c r="K6" i="8"/>
  <c r="N6" i="8"/>
  <c r="D12" i="8" s="1"/>
  <c r="I6" i="8"/>
  <c r="L6" i="8" s="1"/>
  <c r="O6" i="8"/>
  <c r="J6" i="8"/>
  <c r="M6" i="8"/>
  <c r="P6" i="8" s="1"/>
  <c r="C12" i="8"/>
  <c r="I5" i="8"/>
  <c r="K5" i="8" s="1"/>
  <c r="N5" i="8"/>
  <c r="L5" i="8"/>
  <c r="O5" i="8"/>
  <c r="J5" i="8"/>
  <c r="M5" i="8"/>
  <c r="P5" i="8" s="1"/>
  <c r="D11" i="8" s="1"/>
  <c r="H5" i="8"/>
  <c r="O4" i="8"/>
  <c r="E85" i="8"/>
  <c r="F85" i="8"/>
  <c r="I85" i="8" s="1"/>
  <c r="G85" i="8"/>
  <c r="E86" i="8"/>
  <c r="H86" i="8" s="1"/>
  <c r="F86" i="8"/>
  <c r="I86" i="8" s="1"/>
  <c r="G86" i="8"/>
  <c r="E87" i="8"/>
  <c r="F87" i="8"/>
  <c r="G87" i="8"/>
  <c r="I87" i="8"/>
  <c r="E88" i="8"/>
  <c r="F88" i="8"/>
  <c r="H88" i="8" s="1"/>
  <c r="G88" i="8"/>
  <c r="I88" i="8"/>
  <c r="E89" i="8"/>
  <c r="F89" i="8"/>
  <c r="G89" i="8"/>
  <c r="I89" i="8"/>
  <c r="B90" i="8"/>
  <c r="E84" i="8"/>
  <c r="H84" i="8" s="1"/>
  <c r="F84" i="8"/>
  <c r="G84" i="8"/>
  <c r="H85" i="8"/>
  <c r="H87" i="8"/>
  <c r="H89" i="8"/>
  <c r="C47" i="12"/>
  <c r="C46" i="12"/>
  <c r="C45" i="12"/>
  <c r="C44" i="12"/>
  <c r="C43" i="12"/>
  <c r="C42" i="12"/>
  <c r="C41" i="12"/>
  <c r="C40" i="12"/>
  <c r="C39" i="12"/>
  <c r="C38" i="12"/>
  <c r="C37" i="12"/>
  <c r="C36" i="12"/>
  <c r="C48" i="15"/>
  <c r="I48" i="15" s="1"/>
  <c r="C49" i="15"/>
  <c r="I49" i="15" s="1"/>
  <c r="J49" i="15" s="1"/>
  <c r="C50" i="15"/>
  <c r="F50" i="15" s="1"/>
  <c r="G50" i="15" s="1"/>
  <c r="C51" i="15"/>
  <c r="I51" i="15" s="1"/>
  <c r="J51" i="15" s="1"/>
  <c r="C52" i="15"/>
  <c r="I52" i="15" s="1"/>
  <c r="J52" i="15" s="1"/>
  <c r="C53" i="15"/>
  <c r="I53" i="15" s="1"/>
  <c r="J53" i="15" s="1"/>
  <c r="F49" i="15"/>
  <c r="G49" i="15" s="1"/>
  <c r="F51" i="15"/>
  <c r="G51" i="15" s="1"/>
  <c r="F53" i="15"/>
  <c r="G53" i="15" s="1"/>
  <c r="C59" i="15"/>
  <c r="F59" i="15" s="1"/>
  <c r="G59" i="15" s="1"/>
  <c r="C58" i="15"/>
  <c r="I58" i="15"/>
  <c r="J58" i="15" s="1"/>
  <c r="F58" i="15"/>
  <c r="G58" i="15" s="1"/>
  <c r="C57" i="15"/>
  <c r="I57" i="15" s="1"/>
  <c r="J57" i="15" s="1"/>
  <c r="C56" i="15"/>
  <c r="I56" i="15"/>
  <c r="J56" i="15" s="1"/>
  <c r="F56" i="15"/>
  <c r="G56" i="15" s="1"/>
  <c r="C55" i="15"/>
  <c r="F55" i="15" s="1"/>
  <c r="G55" i="15" s="1"/>
  <c r="C54" i="15"/>
  <c r="I54" i="15"/>
  <c r="J54" i="15" s="1"/>
  <c r="F54" i="15"/>
  <c r="G54" i="15" s="1"/>
  <c r="R34" i="15"/>
  <c r="R36" i="15"/>
  <c r="R37" i="15"/>
  <c r="R38" i="15"/>
  <c r="O34" i="15"/>
  <c r="O35" i="15"/>
  <c r="O37" i="15"/>
  <c r="O38" i="15"/>
  <c r="O39" i="15"/>
  <c r="L34" i="15"/>
  <c r="L35" i="15"/>
  <c r="L36" i="15"/>
  <c r="L38" i="15"/>
  <c r="L39" i="15"/>
  <c r="I34" i="15"/>
  <c r="I35" i="15"/>
  <c r="G46" i="15" s="1"/>
  <c r="I36" i="15"/>
  <c r="I37" i="15"/>
  <c r="I38" i="15"/>
  <c r="I39" i="15"/>
  <c r="F34" i="15"/>
  <c r="F35" i="15"/>
  <c r="F36" i="15"/>
  <c r="F37" i="15"/>
  <c r="F38" i="15"/>
  <c r="F39" i="15"/>
  <c r="D46" i="15"/>
  <c r="C40" i="15"/>
  <c r="B46" i="15" s="1"/>
  <c r="C41" i="15"/>
  <c r="C42" i="15"/>
  <c r="C43" i="15"/>
  <c r="D43" i="15" s="1"/>
  <c r="C44" i="15"/>
  <c r="C45" i="15"/>
  <c r="D45" i="15" s="1"/>
  <c r="C34" i="15"/>
  <c r="A46" i="15" s="1"/>
  <c r="C35" i="15"/>
  <c r="C36" i="15"/>
  <c r="C37" i="15"/>
  <c r="C38" i="15"/>
  <c r="C39" i="15"/>
  <c r="R45" i="15"/>
  <c r="S45" i="15"/>
  <c r="O45" i="15"/>
  <c r="P45" i="15"/>
  <c r="L45" i="15"/>
  <c r="M45" i="15"/>
  <c r="I45" i="15"/>
  <c r="J45" i="15"/>
  <c r="F45" i="15"/>
  <c r="G45" i="15"/>
  <c r="R44" i="15"/>
  <c r="S44" i="15" s="1"/>
  <c r="O44" i="15"/>
  <c r="P44" i="15" s="1"/>
  <c r="L44" i="15"/>
  <c r="M44" i="15" s="1"/>
  <c r="I44" i="15"/>
  <c r="J44" i="15" s="1"/>
  <c r="F44" i="15"/>
  <c r="G44" i="15" s="1"/>
  <c r="D44" i="15"/>
  <c r="R43" i="15"/>
  <c r="S43" i="15"/>
  <c r="O43" i="15"/>
  <c r="P43" i="15"/>
  <c r="L43" i="15"/>
  <c r="M43" i="15"/>
  <c r="I43" i="15"/>
  <c r="J43" i="15"/>
  <c r="F43" i="15"/>
  <c r="G43" i="15"/>
  <c r="R42" i="15"/>
  <c r="S42" i="15" s="1"/>
  <c r="O42" i="15"/>
  <c r="P42" i="15" s="1"/>
  <c r="L42" i="15"/>
  <c r="M42" i="15" s="1"/>
  <c r="I42" i="15"/>
  <c r="J42" i="15" s="1"/>
  <c r="F42" i="15"/>
  <c r="G42" i="15" s="1"/>
  <c r="D42" i="15"/>
  <c r="R41" i="15"/>
  <c r="S41" i="15"/>
  <c r="O41" i="15"/>
  <c r="P41" i="15"/>
  <c r="L41" i="15"/>
  <c r="M41" i="15"/>
  <c r="I41" i="15"/>
  <c r="J41" i="15"/>
  <c r="F41" i="15"/>
  <c r="G41" i="15"/>
  <c r="D41" i="15"/>
  <c r="R40" i="15"/>
  <c r="S40" i="15" s="1"/>
  <c r="O40" i="15"/>
  <c r="P40" i="15" s="1"/>
  <c r="L40" i="15"/>
  <c r="M40" i="15" s="1"/>
  <c r="I40" i="15"/>
  <c r="J40" i="15" s="1"/>
  <c r="F40" i="15"/>
  <c r="G40" i="15" s="1"/>
  <c r="D40" i="15"/>
  <c r="P39" i="15"/>
  <c r="M39" i="15"/>
  <c r="J39" i="15"/>
  <c r="G39" i="15"/>
  <c r="D39" i="15"/>
  <c r="S38" i="15"/>
  <c r="P38" i="15"/>
  <c r="M38" i="15"/>
  <c r="J38" i="15"/>
  <c r="G38" i="15"/>
  <c r="D38" i="15"/>
  <c r="S37" i="15"/>
  <c r="P37" i="15"/>
  <c r="J37" i="15"/>
  <c r="G37" i="15"/>
  <c r="D37" i="15"/>
  <c r="S36" i="15"/>
  <c r="M36" i="15"/>
  <c r="J36" i="15"/>
  <c r="G36" i="15"/>
  <c r="D36" i="15"/>
  <c r="P35" i="15"/>
  <c r="M35" i="15"/>
  <c r="J35" i="15"/>
  <c r="G35" i="15"/>
  <c r="D35" i="15"/>
  <c r="S34" i="15"/>
  <c r="P34" i="15"/>
  <c r="M34" i="15"/>
  <c r="J34" i="15"/>
  <c r="G34" i="15"/>
  <c r="D34" i="15"/>
  <c r="J16" i="5"/>
  <c r="J15" i="5"/>
  <c r="J14" i="5"/>
  <c r="H34" i="5" s="1"/>
  <c r="H14" i="5"/>
  <c r="E14" i="5"/>
  <c r="K11" i="5"/>
  <c r="H11" i="5"/>
  <c r="E11" i="5"/>
  <c r="D46" i="6"/>
  <c r="E46" i="6"/>
  <c r="I31" i="6" s="1"/>
  <c r="D47" i="6"/>
  <c r="E47" i="6"/>
  <c r="D48" i="6"/>
  <c r="E48" i="6"/>
  <c r="D49" i="6"/>
  <c r="E49" i="6"/>
  <c r="D50" i="6"/>
  <c r="E50" i="6"/>
  <c r="D51" i="6"/>
  <c r="E51" i="6"/>
  <c r="H31" i="6"/>
  <c r="D41" i="6"/>
  <c r="E41" i="6"/>
  <c r="I30" i="6" s="1"/>
  <c r="D42" i="6"/>
  <c r="E42" i="6"/>
  <c r="D43" i="6"/>
  <c r="E43" i="6"/>
  <c r="D44" i="6"/>
  <c r="E44" i="6"/>
  <c r="H30" i="6"/>
  <c r="D28" i="6"/>
  <c r="E28" i="6"/>
  <c r="I29" i="6" s="1"/>
  <c r="D29" i="6"/>
  <c r="E29" i="6"/>
  <c r="D30" i="6"/>
  <c r="E30" i="6"/>
  <c r="D31" i="6"/>
  <c r="E31" i="6"/>
  <c r="D32" i="6"/>
  <c r="E32" i="6"/>
  <c r="H29" i="6"/>
  <c r="D34" i="6"/>
  <c r="E34" i="6"/>
  <c r="I28" i="6" s="1"/>
  <c r="D35" i="6"/>
  <c r="E35" i="6"/>
  <c r="D36" i="6"/>
  <c r="E36" i="6"/>
  <c r="D37" i="6"/>
  <c r="E37" i="6"/>
  <c r="H28" i="6" s="1"/>
  <c r="D38" i="6"/>
  <c r="E38" i="6"/>
  <c r="D39" i="6"/>
  <c r="E39" i="6"/>
  <c r="G32" i="10"/>
  <c r="H32" i="10"/>
  <c r="G46" i="10" s="1"/>
  <c r="I32" i="10"/>
  <c r="D32" i="10"/>
  <c r="E46" i="10" s="1"/>
  <c r="E32" i="10"/>
  <c r="F32" i="10"/>
  <c r="D46" i="10"/>
  <c r="G31" i="10"/>
  <c r="H31" i="10"/>
  <c r="F45" i="10" s="1"/>
  <c r="I31" i="10"/>
  <c r="G45" i="10"/>
  <c r="D31" i="10"/>
  <c r="E45" i="10" s="1"/>
  <c r="E31" i="10"/>
  <c r="F31" i="10"/>
  <c r="D45" i="10" s="1"/>
  <c r="G30" i="10"/>
  <c r="H30" i="10"/>
  <c r="G44" i="10" s="1"/>
  <c r="I30" i="10"/>
  <c r="D30" i="10"/>
  <c r="E44" i="10" s="1"/>
  <c r="E30" i="10"/>
  <c r="F30" i="10"/>
  <c r="D44" i="10"/>
  <c r="G29" i="10"/>
  <c r="H29" i="10"/>
  <c r="F43" i="10" s="1"/>
  <c r="I29" i="10"/>
  <c r="G43" i="10"/>
  <c r="D29" i="10"/>
  <c r="E43" i="10" s="1"/>
  <c r="E29" i="10"/>
  <c r="F29" i="10"/>
  <c r="D43" i="10" s="1"/>
  <c r="G28" i="10"/>
  <c r="H28" i="10"/>
  <c r="G42" i="10" s="1"/>
  <c r="I28" i="10"/>
  <c r="D28" i="10"/>
  <c r="E42" i="10" s="1"/>
  <c r="E28" i="10"/>
  <c r="F28" i="10"/>
  <c r="D42" i="10"/>
  <c r="G27" i="10"/>
  <c r="H27" i="10"/>
  <c r="F41" i="10" s="1"/>
  <c r="I27" i="10"/>
  <c r="G41" i="10"/>
  <c r="D27" i="10"/>
  <c r="E41" i="10" s="1"/>
  <c r="E27" i="10"/>
  <c r="F27" i="10"/>
  <c r="D41" i="10" s="1"/>
  <c r="G26" i="10"/>
  <c r="H26" i="10"/>
  <c r="G40" i="10" s="1"/>
  <c r="I26" i="10"/>
  <c r="D26" i="10"/>
  <c r="D40" i="10" s="1"/>
  <c r="E26" i="10"/>
  <c r="F26" i="10"/>
  <c r="G24" i="10"/>
  <c r="G38" i="10" s="1"/>
  <c r="H24" i="10"/>
  <c r="I24" i="10"/>
  <c r="F38" i="10"/>
  <c r="D24" i="10"/>
  <c r="E24" i="10"/>
  <c r="D38" i="10" s="1"/>
  <c r="F24" i="10"/>
  <c r="E38" i="10"/>
  <c r="G23" i="10"/>
  <c r="G37" i="10" s="1"/>
  <c r="H23" i="10"/>
  <c r="I23" i="10"/>
  <c r="F37" i="10" s="1"/>
  <c r="D23" i="10"/>
  <c r="E23" i="10"/>
  <c r="E37" i="10" s="1"/>
  <c r="F23" i="10"/>
  <c r="G22" i="10"/>
  <c r="G36" i="10" s="1"/>
  <c r="H22" i="10"/>
  <c r="I22" i="10"/>
  <c r="F36" i="10"/>
  <c r="D22" i="10"/>
  <c r="E22" i="10"/>
  <c r="F22" i="10"/>
  <c r="E36" i="10"/>
  <c r="D36" i="10"/>
  <c r="G21" i="10"/>
  <c r="H21" i="10"/>
  <c r="I21" i="10"/>
  <c r="G35" i="10" s="1"/>
  <c r="D21" i="10"/>
  <c r="E21" i="10"/>
  <c r="E35" i="10" s="1"/>
  <c r="F21" i="10"/>
  <c r="G20" i="10"/>
  <c r="G34" i="10" s="1"/>
  <c r="H20" i="10"/>
  <c r="I20" i="10"/>
  <c r="F34" i="10"/>
  <c r="E20" i="10"/>
  <c r="E34" i="10" s="1"/>
  <c r="F20" i="10"/>
  <c r="G19" i="10"/>
  <c r="D19" i="10"/>
  <c r="F36" i="2"/>
  <c r="F35" i="2"/>
  <c r="F34" i="2"/>
  <c r="F29" i="2"/>
  <c r="F30" i="2"/>
  <c r="F31" i="2"/>
  <c r="H18" i="2"/>
  <c r="G18" i="2"/>
  <c r="H11" i="2"/>
  <c r="G11" i="2"/>
  <c r="H4" i="2"/>
  <c r="G4" i="2"/>
  <c r="D4" i="2"/>
  <c r="E18" i="2"/>
  <c r="E11" i="2"/>
  <c r="E4" i="2"/>
  <c r="D13" i="8" l="1"/>
  <c r="C13" i="8"/>
  <c r="K9" i="8"/>
  <c r="N4" i="8"/>
  <c r="J48" i="15"/>
  <c r="D35" i="10"/>
  <c r="D37" i="10"/>
  <c r="E40" i="10"/>
  <c r="F40" i="10"/>
  <c r="F42" i="10"/>
  <c r="F44" i="10"/>
  <c r="F46" i="10"/>
  <c r="K14" i="5"/>
  <c r="I55" i="15"/>
  <c r="J55" i="15" s="1"/>
  <c r="F57" i="15"/>
  <c r="G57" i="15" s="1"/>
  <c r="I59" i="15"/>
  <c r="J59" i="15" s="1"/>
  <c r="F52" i="15"/>
  <c r="G52" i="15" s="1"/>
  <c r="F48" i="15"/>
  <c r="I50" i="15"/>
  <c r="J50" i="15" s="1"/>
  <c r="I84" i="8"/>
  <c r="L65" i="6"/>
  <c r="D74" i="6"/>
  <c r="H5" i="15"/>
  <c r="K5" i="15" s="1"/>
  <c r="G5" i="15"/>
  <c r="J5" i="15" s="1"/>
  <c r="I5" i="15"/>
  <c r="K52" i="7"/>
  <c r="G76" i="7" s="1"/>
  <c r="K42" i="7"/>
  <c r="D76" i="7" s="1"/>
  <c r="C87" i="7" s="1"/>
  <c r="D87" i="7" s="1"/>
  <c r="G53" i="7"/>
  <c r="F77" i="7" s="1"/>
  <c r="E88" i="7" s="1"/>
  <c r="G43" i="7"/>
  <c r="C77" i="7" s="1"/>
  <c r="C32" i="17"/>
  <c r="C27" i="17"/>
  <c r="G27" i="17"/>
  <c r="Q4" i="18"/>
  <c r="P4" i="18"/>
  <c r="Q5" i="18"/>
  <c r="P5" i="18"/>
  <c r="F35" i="10"/>
  <c r="C11" i="8"/>
  <c r="E72" i="6"/>
  <c r="F88" i="7"/>
  <c r="G88" i="7" s="1"/>
  <c r="C93" i="7"/>
  <c r="D93" i="7" s="1"/>
  <c r="C28" i="17"/>
  <c r="Q3" i="18"/>
  <c r="P3" i="18"/>
  <c r="O18" i="18"/>
  <c r="N18" i="18"/>
  <c r="D34" i="10"/>
  <c r="L37" i="15"/>
  <c r="M37" i="15" s="1"/>
  <c r="O36" i="15"/>
  <c r="P36" i="15" s="1"/>
  <c r="R39" i="15"/>
  <c r="S39" i="15" s="1"/>
  <c r="R35" i="15"/>
  <c r="I57" i="6"/>
  <c r="L66" i="6"/>
  <c r="G61" i="6"/>
  <c r="I61" i="6" s="1"/>
  <c r="G73" i="6" s="1"/>
  <c r="F61" i="6"/>
  <c r="H61" i="6" s="1"/>
  <c r="E73" i="6" s="1"/>
  <c r="F74" i="6"/>
  <c r="G67" i="6"/>
  <c r="I67" i="6" s="1"/>
  <c r="F67" i="6"/>
  <c r="H67" i="6" s="1"/>
  <c r="E75" i="6" s="1"/>
  <c r="J4" i="15"/>
  <c r="H12" i="15"/>
  <c r="K4" i="15"/>
  <c r="H13" i="15"/>
  <c r="E75" i="7"/>
  <c r="B72" i="7"/>
  <c r="B87" i="7"/>
  <c r="C44" i="7"/>
  <c r="B78" i="7" s="1"/>
  <c r="C90" i="7"/>
  <c r="D90" i="7" s="1"/>
  <c r="B90" i="7"/>
  <c r="B93" i="7"/>
  <c r="F93" i="7"/>
  <c r="G93" i="7" s="1"/>
  <c r="E93" i="7"/>
  <c r="C30" i="17"/>
  <c r="G30" i="17"/>
  <c r="F75" i="6"/>
  <c r="G75" i="6"/>
  <c r="H7" i="15"/>
  <c r="K7" i="15" s="1"/>
  <c r="G7" i="15"/>
  <c r="J7" i="15" s="1"/>
  <c r="I7" i="15"/>
  <c r="L7" i="15" s="1"/>
  <c r="B75" i="7"/>
  <c r="B71" i="7"/>
  <c r="E87" i="7"/>
  <c r="F87" i="7"/>
  <c r="G87" i="7" s="1"/>
  <c r="B88" i="7"/>
  <c r="F89" i="7"/>
  <c r="G89" i="7" s="1"/>
  <c r="E89" i="7"/>
  <c r="K56" i="7"/>
  <c r="G80" i="7" s="1"/>
  <c r="E91" i="7" s="1"/>
  <c r="K46" i="7"/>
  <c r="D80" i="7" s="1"/>
  <c r="C91" i="7" s="1"/>
  <c r="D91" i="7" s="1"/>
  <c r="G57" i="7"/>
  <c r="F81" i="7" s="1"/>
  <c r="E92" i="7" s="1"/>
  <c r="G47" i="7"/>
  <c r="C81" i="7" s="1"/>
  <c r="B92" i="7" s="1"/>
  <c r="C31" i="17"/>
  <c r="G31" i="17"/>
  <c r="G29" i="17"/>
  <c r="C26" i="17"/>
  <c r="G26" i="17"/>
  <c r="O16" i="18"/>
  <c r="O17" i="18"/>
  <c r="N17" i="18"/>
  <c r="C88" i="7"/>
  <c r="D88" i="7" s="1"/>
  <c r="G55" i="7"/>
  <c r="F79" i="7" s="1"/>
  <c r="E90" i="7" s="1"/>
  <c r="F30" i="17"/>
  <c r="F26" i="17"/>
  <c r="D30" i="17"/>
  <c r="D26" i="17"/>
  <c r="E30" i="17"/>
  <c r="E26" i="17"/>
  <c r="H25" i="17"/>
  <c r="H29" i="17"/>
  <c r="I25" i="17"/>
  <c r="I29" i="17"/>
  <c r="F29" i="17"/>
  <c r="B25" i="17"/>
  <c r="C25" i="17"/>
  <c r="H32" i="17"/>
  <c r="H28" i="17"/>
  <c r="I32" i="17"/>
  <c r="I28" i="17"/>
  <c r="F32" i="17"/>
  <c r="F28" i="17"/>
  <c r="H31" i="17"/>
  <c r="H27" i="17"/>
  <c r="I31" i="17"/>
  <c r="I27" i="17"/>
  <c r="F31" i="17"/>
  <c r="F27" i="17"/>
  <c r="B86" i="7" l="1"/>
  <c r="C86" i="7"/>
  <c r="D86" i="7" s="1"/>
  <c r="G72" i="6"/>
  <c r="F72" i="6"/>
  <c r="M46" i="15"/>
  <c r="D10" i="8"/>
  <c r="C10" i="8"/>
  <c r="E86" i="7"/>
  <c r="F86" i="7"/>
  <c r="G86" i="7" s="1"/>
  <c r="D75" i="6"/>
  <c r="D73" i="6"/>
  <c r="F92" i="7"/>
  <c r="G92" i="7" s="1"/>
  <c r="F73" i="6"/>
  <c r="J46" i="15"/>
  <c r="G60" i="15"/>
  <c r="C89" i="7"/>
  <c r="D89" i="7" s="1"/>
  <c r="B89" i="7"/>
  <c r="B91" i="7"/>
  <c r="L5" i="15"/>
  <c r="H11" i="15"/>
  <c r="F90" i="7"/>
  <c r="G90" i="7" s="1"/>
  <c r="F91" i="7"/>
  <c r="G91" i="7" s="1"/>
  <c r="C92" i="7"/>
  <c r="D92" i="7" s="1"/>
  <c r="P46" i="15"/>
  <c r="S35" i="15"/>
  <c r="D60" i="15"/>
  <c r="G48" i="15"/>
</calcChain>
</file>

<file path=xl/sharedStrings.xml><?xml version="1.0" encoding="utf-8"?>
<sst xmlns="http://schemas.openxmlformats.org/spreadsheetml/2006/main" count="1073" uniqueCount="449">
  <si>
    <t>Human AD NMNAT2 QTY</t>
  </si>
  <si>
    <t>Soluble Fraction</t>
  </si>
  <si>
    <t>Control</t>
  </si>
  <si>
    <t>Raw Intensities</t>
  </si>
  <si>
    <t>Control NMNAT2</t>
  </si>
  <si>
    <t>AD</t>
  </si>
  <si>
    <t>AD NMNAT2</t>
  </si>
  <si>
    <t>GAPDH</t>
  </si>
  <si>
    <t>ctrl1</t>
  </si>
  <si>
    <t>ctrl2</t>
  </si>
  <si>
    <t>ctrl3</t>
  </si>
  <si>
    <t>ctrl4</t>
  </si>
  <si>
    <t>ctrl5</t>
  </si>
  <si>
    <t>ctrl6</t>
  </si>
  <si>
    <t>ctrl7</t>
  </si>
  <si>
    <t>ctrl8</t>
  </si>
  <si>
    <t>ad1</t>
  </si>
  <si>
    <t>ad2</t>
  </si>
  <si>
    <t>ad3</t>
  </si>
  <si>
    <t>ad4</t>
  </si>
  <si>
    <t>ad5</t>
  </si>
  <si>
    <t>ad6</t>
  </si>
  <si>
    <t>ad7</t>
  </si>
  <si>
    <t>ad8</t>
  </si>
  <si>
    <t>GAPDH Normalized Intensities</t>
  </si>
  <si>
    <t>Total Soluble+Insoluble</t>
  </si>
  <si>
    <t>Normalized Intensities</t>
  </si>
  <si>
    <t>Insoluble Fraction NMNAT2</t>
  </si>
  <si>
    <t>Soluble</t>
  </si>
  <si>
    <t>NDAN</t>
  </si>
  <si>
    <t>Insoluble</t>
  </si>
  <si>
    <t>Average NMNAT2 Normalized Intensities</t>
  </si>
  <si>
    <t>SEM</t>
  </si>
  <si>
    <t>StDev</t>
  </si>
  <si>
    <t>Normalized Fold Change</t>
  </si>
  <si>
    <t>SEM FC</t>
  </si>
  <si>
    <t>NDAN NMNAT2</t>
  </si>
  <si>
    <t>NDAN1</t>
  </si>
  <si>
    <t>NDAN2</t>
  </si>
  <si>
    <t>NDAN3</t>
  </si>
  <si>
    <t>NDAN4</t>
  </si>
  <si>
    <t>NDAN5</t>
  </si>
  <si>
    <t>NMNAT2</t>
  </si>
  <si>
    <t>Ctrl1</t>
  </si>
  <si>
    <t>Ctrl2</t>
  </si>
  <si>
    <t>Ctrl3</t>
  </si>
  <si>
    <t>Ctrl4</t>
  </si>
  <si>
    <t>Ctrl5</t>
  </si>
  <si>
    <t>Ctrl6</t>
  </si>
  <si>
    <t>Ctrl7</t>
  </si>
  <si>
    <t>NDC1</t>
  </si>
  <si>
    <t>NDC2</t>
  </si>
  <si>
    <t>NDC3</t>
  </si>
  <si>
    <t>NDC4</t>
  </si>
  <si>
    <t>NDC5</t>
  </si>
  <si>
    <t>NDC6</t>
  </si>
  <si>
    <t>NDC7</t>
  </si>
  <si>
    <t>AD1</t>
  </si>
  <si>
    <t>AD2</t>
  </si>
  <si>
    <t>AD3</t>
  </si>
  <si>
    <t>AD4</t>
  </si>
  <si>
    <t>AD5</t>
  </si>
  <si>
    <t>AD6</t>
  </si>
  <si>
    <t>AD7</t>
  </si>
  <si>
    <t>AD8</t>
  </si>
  <si>
    <t>Average Fold Change</t>
  </si>
  <si>
    <t>STDEV</t>
  </si>
  <si>
    <t>NMNAT1</t>
  </si>
  <si>
    <t>FC</t>
  </si>
  <si>
    <t>Goal: Heat Induced aggregated CS and assess the refolding effect of NMNAT2 with or without HSP90</t>
  </si>
  <si>
    <t>Temperature (RT)</t>
  </si>
  <si>
    <t>Time (sec)</t>
  </si>
  <si>
    <t>NMNAT2+HSP90+ATP</t>
  </si>
  <si>
    <t>NMNAT2+ATP</t>
  </si>
  <si>
    <t>HSP90+ATP</t>
  </si>
  <si>
    <t>cATP+HSP90+ATP</t>
  </si>
  <si>
    <t>Exp 1: Pi Release 5 min</t>
  </si>
  <si>
    <t>NO PPASE</t>
  </si>
  <si>
    <t>PPASE</t>
  </si>
  <si>
    <t>[ATP]=500uM</t>
  </si>
  <si>
    <t>[NMNAT2]=1uM</t>
  </si>
  <si>
    <t>Blank</t>
  </si>
  <si>
    <t>NMNAT2+NMN+ATP</t>
  </si>
  <si>
    <t>NMNAT2+CS+ATP</t>
  </si>
  <si>
    <t>NMNAT2+CS+NMN+ATP</t>
  </si>
  <si>
    <t>HSP90</t>
  </si>
  <si>
    <t>NMNAT2+HSP90</t>
  </si>
  <si>
    <t>NMNAT2+HSP90+NMN+ATP</t>
  </si>
  <si>
    <t>NMNAT2+HSP0+CS+ATP</t>
  </si>
  <si>
    <t>NMNAT2+HSP0+CS+NMN+ATP</t>
  </si>
  <si>
    <t>HSP90+CS+ATP</t>
  </si>
  <si>
    <t>Blank average</t>
  </si>
  <si>
    <t>No ppase</t>
  </si>
  <si>
    <t>ppase</t>
  </si>
  <si>
    <t>NMNAT2+HSP90+CS+ATP</t>
  </si>
  <si>
    <t>NMNAT2+HSP90+CS+NMN+ATP</t>
  </si>
  <si>
    <t>w/ATP</t>
  </si>
  <si>
    <t>cATP+ATP</t>
  </si>
  <si>
    <t>cATP+NMN+ATP</t>
  </si>
  <si>
    <t>cATP+HSP90+NMN+ATP</t>
  </si>
  <si>
    <t>cATP+HSP90+CS+ATP</t>
  </si>
  <si>
    <t>cATP+HSP90+CS+NMN+ATP</t>
  </si>
  <si>
    <t>PPASE Average</t>
  </si>
  <si>
    <t>NO PPASE Average</t>
  </si>
  <si>
    <t>stdev</t>
  </si>
  <si>
    <t>Cherry</t>
  </si>
  <si>
    <t>C164/C165</t>
  </si>
  <si>
    <t>ED</t>
  </si>
  <si>
    <t>NTD</t>
  </si>
  <si>
    <t>CTD</t>
  </si>
  <si>
    <t>CATP</t>
  </si>
  <si>
    <t>Lysozyme: CS Assay</t>
  </si>
  <si>
    <t>0uM</t>
  </si>
  <si>
    <t>1uM</t>
  </si>
  <si>
    <t>2uM</t>
  </si>
  <si>
    <t>Time (Sec)</t>
  </si>
  <si>
    <t>Conc.</t>
  </si>
  <si>
    <t>HSP70: CS Assay</t>
  </si>
  <si>
    <t>NMNAT1: CS Assay</t>
  </si>
  <si>
    <t>NMNAT2: CS Assay</t>
  </si>
  <si>
    <t>NMNAT3</t>
  </si>
  <si>
    <t>NMNAT3: CS Assay</t>
  </si>
  <si>
    <t>Luciferase Assay</t>
  </si>
  <si>
    <t>No Heat Shock</t>
  </si>
  <si>
    <t>Exp1</t>
  </si>
  <si>
    <t>EXP2</t>
  </si>
  <si>
    <t>EXP3</t>
  </si>
  <si>
    <t>mCherry</t>
  </si>
  <si>
    <t>HSP70</t>
  </si>
  <si>
    <t>Heat Shock</t>
  </si>
  <si>
    <t>Recovery</t>
  </si>
  <si>
    <t>Normalization</t>
  </si>
  <si>
    <t>Final Calculations</t>
  </si>
  <si>
    <t>No HS</t>
  </si>
  <si>
    <t>HS</t>
  </si>
  <si>
    <t>Hsp70</t>
  </si>
  <si>
    <t>AREA</t>
  </si>
  <si>
    <t>WT1</t>
  </si>
  <si>
    <t>WT2</t>
  </si>
  <si>
    <t>WT3</t>
  </si>
  <si>
    <t>WT4</t>
  </si>
  <si>
    <t>WT5</t>
  </si>
  <si>
    <t>GFP1</t>
  </si>
  <si>
    <t>GFP2</t>
  </si>
  <si>
    <t>GFP3</t>
  </si>
  <si>
    <t>GFP4</t>
  </si>
  <si>
    <t>GFP5</t>
  </si>
  <si>
    <t>GFP6</t>
  </si>
  <si>
    <t>ED1</t>
  </si>
  <si>
    <t>ED2</t>
  </si>
  <si>
    <t>ED3</t>
  </si>
  <si>
    <t>ED4</t>
  </si>
  <si>
    <t>CATP1</t>
  </si>
  <si>
    <t>CATP2</t>
  </si>
  <si>
    <t>CATP4</t>
  </si>
  <si>
    <t>CATP5</t>
  </si>
  <si>
    <t>CATP6</t>
  </si>
  <si>
    <t>GFP</t>
  </si>
  <si>
    <t>WT</t>
  </si>
  <si>
    <t>cATP</t>
  </si>
  <si>
    <t>Figure 3D</t>
  </si>
  <si>
    <t>MC1 Intensity</t>
  </si>
  <si>
    <t>CATP3</t>
  </si>
  <si>
    <t>Normalized Intensity to GFP Average</t>
  </si>
  <si>
    <t>Intensity/Area</t>
  </si>
  <si>
    <t>Soluble 1</t>
  </si>
  <si>
    <t>sc</t>
  </si>
  <si>
    <t>kri</t>
  </si>
  <si>
    <t>si</t>
  </si>
  <si>
    <t>si+kri</t>
  </si>
  <si>
    <t>Soluble 2</t>
  </si>
  <si>
    <t>Insoluble 1</t>
  </si>
  <si>
    <t>Insoluble 2</t>
  </si>
  <si>
    <t>GAPDH 1</t>
  </si>
  <si>
    <t>GAPDH2</t>
  </si>
  <si>
    <t>GFP Intensity</t>
  </si>
  <si>
    <t xml:space="preserve">Normalized GFP1 </t>
  </si>
  <si>
    <t xml:space="preserve">Normalized GFP2 </t>
  </si>
  <si>
    <t xml:space="preserve">Average </t>
  </si>
  <si>
    <t>Normalized to Sc</t>
  </si>
  <si>
    <t>Average</t>
  </si>
  <si>
    <t>StDEV</t>
  </si>
  <si>
    <t>Figure 5G</t>
  </si>
  <si>
    <t>NO HS</t>
  </si>
  <si>
    <t>NMNAT2 CATP</t>
  </si>
  <si>
    <t>NMNAT2 DeltaCTerm</t>
  </si>
  <si>
    <t>NMNAT2 Delta N Term</t>
  </si>
  <si>
    <t>Exp2</t>
  </si>
  <si>
    <t>Exp3</t>
  </si>
  <si>
    <t>PM</t>
  </si>
  <si>
    <t>Recovery-Average</t>
  </si>
  <si>
    <t>HS-Average</t>
  </si>
  <si>
    <t>NO HS-Average</t>
  </si>
  <si>
    <t>Figure 3B</t>
  </si>
  <si>
    <t>Figure 5D</t>
  </si>
  <si>
    <t>Figure 1E</t>
  </si>
  <si>
    <t>Figure 5B</t>
  </si>
  <si>
    <t>Ataxin1-82Q-GFP Only</t>
  </si>
  <si>
    <t>mcherry</t>
  </si>
  <si>
    <t>hsp70</t>
  </si>
  <si>
    <t>nmnat2</t>
  </si>
  <si>
    <t>ed</t>
  </si>
  <si>
    <t>pm</t>
  </si>
  <si>
    <t>catp</t>
  </si>
  <si>
    <t>ctd</t>
  </si>
  <si>
    <t>PHF-1 Analysis</t>
  </si>
  <si>
    <t>Exp1: PHF1 normalized to GAPDH</t>
  </si>
  <si>
    <t>Exp2: PHF1 normalized to GAPDH</t>
  </si>
  <si>
    <t>Exp3: PHF1 normalized to GAPDH</t>
  </si>
  <si>
    <t>Average Normalized PHF1 Levels</t>
  </si>
  <si>
    <t>Total Tau Analysis</t>
  </si>
  <si>
    <t>Exp1: Tau normalized to GAPDH</t>
  </si>
  <si>
    <t>Exp2: Tau normalized to GAPDH</t>
  </si>
  <si>
    <t>Exp3: Tau normalized to GAPDH</t>
  </si>
  <si>
    <t>Average Normalized Tau Levels</t>
  </si>
  <si>
    <t>Figure 3E</t>
  </si>
  <si>
    <t>AT8 Normalized Intensity</t>
  </si>
  <si>
    <t>PHF-1 Normalized Intensity</t>
  </si>
  <si>
    <t>Synaptophysin</t>
  </si>
  <si>
    <t>VGlut1</t>
  </si>
  <si>
    <t>SNAP25</t>
  </si>
  <si>
    <t>RIM1alpha</t>
  </si>
  <si>
    <t>PSD95</t>
  </si>
  <si>
    <t>WT6</t>
  </si>
  <si>
    <t>HET1</t>
  </si>
  <si>
    <t>HET2</t>
  </si>
  <si>
    <t>HET3</t>
  </si>
  <si>
    <t>HET4</t>
  </si>
  <si>
    <t>HET5</t>
  </si>
  <si>
    <t>HET6</t>
  </si>
  <si>
    <t>Neurofilament</t>
  </si>
  <si>
    <t>MAP2</t>
  </si>
  <si>
    <t>NR1</t>
  </si>
  <si>
    <t>NMNAT2-GAPDH Normalized</t>
  </si>
  <si>
    <t>NMNAT2 Fold Change</t>
  </si>
  <si>
    <t>Synaptophysin-GAPDH Normalized</t>
  </si>
  <si>
    <t>Synaptophysin Fold Change</t>
  </si>
  <si>
    <t>VGlut1-GAPDH Normalized</t>
  </si>
  <si>
    <t>VGlut1 Fold Change</t>
  </si>
  <si>
    <t>SNAP25 GAPDH Normalized</t>
  </si>
  <si>
    <t>SNAP25 Fold Change</t>
  </si>
  <si>
    <t>RIM1 alpha GAPDH Normalized</t>
  </si>
  <si>
    <t>Rim1 alpha Fold Change</t>
  </si>
  <si>
    <t>PSD95 GAPDH Normalized</t>
  </si>
  <si>
    <t>PSD95 Fold Change</t>
  </si>
  <si>
    <t>HSP90 GAPDH Normalized</t>
  </si>
  <si>
    <t>HSP90 Fold Change</t>
  </si>
  <si>
    <t>NR1 GAPDH Normalized</t>
  </si>
  <si>
    <t>NR1 Fold Change</t>
  </si>
  <si>
    <t>Neurofilament-GAPDH Normalized</t>
  </si>
  <si>
    <t>Neurofilament Fold Change</t>
  </si>
  <si>
    <t>MAP2 GAPDH Normalized</t>
  </si>
  <si>
    <t>MAP2 Fold Change</t>
  </si>
  <si>
    <t>Fold Change to Plot</t>
  </si>
  <si>
    <t>DMSO 1</t>
  </si>
  <si>
    <t>DMSO 2</t>
  </si>
  <si>
    <t>DMSO 3</t>
  </si>
  <si>
    <t>DMSO 4</t>
  </si>
  <si>
    <t>DMSO 5</t>
  </si>
  <si>
    <t>DMSO6</t>
  </si>
  <si>
    <t>DMSO7</t>
  </si>
  <si>
    <t>DMSO8</t>
  </si>
  <si>
    <t>MG-132-1</t>
  </si>
  <si>
    <t>MG-132-2</t>
  </si>
  <si>
    <t>MG-132-3</t>
  </si>
  <si>
    <t>MG-132-4</t>
  </si>
  <si>
    <t>MG-132-5</t>
  </si>
  <si>
    <t>MG132-6</t>
  </si>
  <si>
    <t>MG132-7</t>
  </si>
  <si>
    <t>MG132-8</t>
  </si>
  <si>
    <t>WT-GFP</t>
  </si>
  <si>
    <t>WT-WT</t>
  </si>
  <si>
    <t>WT-ED</t>
  </si>
  <si>
    <t>WT-cATP</t>
  </si>
  <si>
    <t>KO-GFP</t>
  </si>
  <si>
    <t>KO-WT</t>
  </si>
  <si>
    <t>KO-ED</t>
  </si>
  <si>
    <t>KO-cATP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</si>
  <si>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</si>
  <si>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</si>
  <si>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</si>
  <si>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</si>
  <si>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</si>
  <si>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</si>
  <si>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</si>
  <si>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</si>
  <si>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KCL-1</t>
  </si>
  <si>
    <t>KCL-2</t>
  </si>
  <si>
    <t>KCL-3</t>
  </si>
  <si>
    <t>KCL-4</t>
  </si>
  <si>
    <t>KCL-5</t>
  </si>
  <si>
    <t>KCL-6</t>
  </si>
  <si>
    <t>KCL-7</t>
  </si>
  <si>
    <t>KCL-8</t>
  </si>
  <si>
    <t>DMSO SD</t>
  </si>
  <si>
    <t>MG132 SD</t>
  </si>
  <si>
    <t>KCL-Control SD</t>
  </si>
  <si>
    <t>KCL SD</t>
  </si>
  <si>
    <t>Colors mean each separate repeats</t>
  </si>
  <si>
    <t>DMSO-Average</t>
  </si>
  <si>
    <t>MG132-Average</t>
  </si>
  <si>
    <t>KCL-Control Average</t>
  </si>
  <si>
    <t>KCL Average</t>
  </si>
  <si>
    <t>WT-Exp1</t>
  </si>
  <si>
    <t>WT-Exp2</t>
  </si>
  <si>
    <t xml:space="preserve">WT-EXP3 </t>
  </si>
  <si>
    <t>HET-Exp1</t>
  </si>
  <si>
    <t>HET-Exp2</t>
  </si>
  <si>
    <t>HET-Exp3</t>
  </si>
  <si>
    <t>KO-Exp1</t>
  </si>
  <si>
    <t>KO-Exp2</t>
  </si>
  <si>
    <t>KO-Exp3</t>
  </si>
  <si>
    <t>DIV5</t>
  </si>
  <si>
    <t>DIV10</t>
  </si>
  <si>
    <t>DIV15</t>
  </si>
  <si>
    <t>DIV20</t>
  </si>
  <si>
    <t>Het</t>
  </si>
  <si>
    <t>KO</t>
  </si>
  <si>
    <t>DIV 5 Average</t>
  </si>
  <si>
    <t>DIV 5 SD</t>
  </si>
  <si>
    <t>DIV 10 Average</t>
  </si>
  <si>
    <t>DIV 10 SD</t>
  </si>
  <si>
    <t>DIV 15 Average</t>
  </si>
  <si>
    <t>DIV 15 SD</t>
  </si>
  <si>
    <t>DIV 20 Average</t>
  </si>
  <si>
    <t>DIV 20 SD</t>
  </si>
  <si>
    <t>Figure 7D</t>
  </si>
  <si>
    <t>NADH (uM)</t>
  </si>
  <si>
    <t>average NADH (uM)</t>
  </si>
  <si>
    <t>NAD (uM)</t>
  </si>
  <si>
    <t>average NAD (uM)</t>
  </si>
  <si>
    <t>Figure S4B</t>
  </si>
  <si>
    <t>In Vivo AAV Injected Tissue Samples NAD Levels</t>
  </si>
  <si>
    <t>cATP1</t>
  </si>
  <si>
    <t>cATP2</t>
  </si>
  <si>
    <t>cATP3</t>
  </si>
  <si>
    <t xml:space="preserve"> Protein Concentration (ug/uL)</t>
  </si>
  <si>
    <t>50uG protein (ul)</t>
  </si>
  <si>
    <t>AU</t>
  </si>
  <si>
    <t>Avergae AU</t>
  </si>
  <si>
    <t>uM NAD</t>
  </si>
  <si>
    <t>Animal 1</t>
  </si>
  <si>
    <t>Animal 2</t>
  </si>
  <si>
    <t>Animal 3</t>
  </si>
  <si>
    <t>NAD STDEV</t>
  </si>
  <si>
    <t>mCherry+HSP90inh</t>
  </si>
  <si>
    <t>mCherry+_HSP90sirNA</t>
  </si>
  <si>
    <t>mCherry+HSFinh</t>
  </si>
  <si>
    <t>mCherry+hsp90inh+hsfinh</t>
  </si>
  <si>
    <t>mCherry+HSP90siRNA+HSFinh</t>
  </si>
  <si>
    <t>mCherry+_HSP90siRNA</t>
  </si>
  <si>
    <t>NO HS1</t>
  </si>
  <si>
    <t>NO HS2</t>
  </si>
  <si>
    <t>NO HS3</t>
  </si>
  <si>
    <t>HS1</t>
  </si>
  <si>
    <t>HS2</t>
  </si>
  <si>
    <t>HS3</t>
  </si>
  <si>
    <t>Recovery1</t>
  </si>
  <si>
    <t>Recovery2</t>
  </si>
  <si>
    <t>Recovery3</t>
  </si>
  <si>
    <t>Average Luc</t>
  </si>
  <si>
    <t>Normalized Luc Exp 1</t>
  </si>
  <si>
    <t>Normalized Luc Exp 2</t>
  </si>
  <si>
    <t>Normalized Luc Exp 3</t>
  </si>
  <si>
    <t>NOHS</t>
  </si>
  <si>
    <t>NoHS-STDEV</t>
  </si>
  <si>
    <t>HS-STDEV</t>
  </si>
  <si>
    <t>Recovery-STDEV</t>
  </si>
  <si>
    <t>mCherry+HSP90sirNA</t>
  </si>
  <si>
    <t>NMNAT2+AAG</t>
  </si>
  <si>
    <t>NMNAT2+siRNA</t>
  </si>
  <si>
    <t>NMNAT2+KRI</t>
  </si>
  <si>
    <t>NMNAT2+AAG+KRI</t>
  </si>
  <si>
    <t>NMNAT2+siRNA+KRI</t>
  </si>
  <si>
    <t>Figure 4E</t>
  </si>
  <si>
    <t>Figure 4G</t>
  </si>
  <si>
    <t>CS Dis-Aggregation Assay</t>
  </si>
  <si>
    <t>Figure 4F</t>
  </si>
  <si>
    <t>Blank+ATP</t>
  </si>
  <si>
    <t>EXP1</t>
  </si>
  <si>
    <t>AU @ 360nm</t>
  </si>
  <si>
    <t>Blank Average</t>
  </si>
  <si>
    <t>Blank Subtracted</t>
  </si>
  <si>
    <t>Average AU (normalized)</t>
  </si>
  <si>
    <t>Figure 4D</t>
  </si>
  <si>
    <t>Scramble</t>
  </si>
  <si>
    <t>siRNA</t>
  </si>
  <si>
    <t>KRI</t>
  </si>
  <si>
    <t>siRNA+KRI</t>
  </si>
  <si>
    <t>PHF-1 Raw Intensity</t>
  </si>
  <si>
    <t>GAPDH Raw Intensity</t>
  </si>
  <si>
    <t>Normalized GAPDH</t>
  </si>
  <si>
    <t>Normalized PHF1</t>
  </si>
  <si>
    <t>PHF-1 FC</t>
  </si>
  <si>
    <t>Average FC</t>
  </si>
  <si>
    <t>Average Scramble</t>
  </si>
  <si>
    <t>AT8</t>
  </si>
  <si>
    <t>PHF-1</t>
  </si>
  <si>
    <t>Normalized AT8</t>
  </si>
  <si>
    <t>Normalized PHF-1</t>
  </si>
  <si>
    <t>Average GFP AT8</t>
  </si>
  <si>
    <t>Average GFP PHF-1</t>
  </si>
  <si>
    <t>FC AT8</t>
  </si>
  <si>
    <t>FC PHF-1</t>
  </si>
  <si>
    <t>KO1</t>
  </si>
  <si>
    <t>KO2</t>
  </si>
  <si>
    <t>KO3</t>
  </si>
  <si>
    <t>Normalized SNAP25</t>
  </si>
  <si>
    <t>Normalized Synaptophysin</t>
  </si>
  <si>
    <t>Normalized RIM1alpha</t>
  </si>
  <si>
    <t>RIM1 WT Average</t>
  </si>
  <si>
    <t>SNAP25 WT average</t>
  </si>
  <si>
    <t>Synaptophysisn WT Average</t>
  </si>
  <si>
    <t>FC SNAP25</t>
  </si>
  <si>
    <t>FC Synapto</t>
  </si>
  <si>
    <t>FC RIM1</t>
  </si>
  <si>
    <t>Ataxin New-1</t>
  </si>
  <si>
    <t>Ataxin New-2</t>
  </si>
  <si>
    <t>Ataxin New-3</t>
  </si>
  <si>
    <t>Intensity</t>
  </si>
  <si>
    <t>GAPDH-Normalized</t>
  </si>
  <si>
    <t>NT</t>
  </si>
  <si>
    <t>CT</t>
  </si>
  <si>
    <t xml:space="preserve">Intensity </t>
  </si>
  <si>
    <t>Normalized</t>
  </si>
  <si>
    <t>Average mCherry Soluble</t>
  </si>
  <si>
    <t>Average mCherry Insoluble</t>
  </si>
  <si>
    <t>Soluble1</t>
  </si>
  <si>
    <t>Soluble2</t>
  </si>
  <si>
    <t>Soluble3</t>
  </si>
  <si>
    <t>Insoluble 3</t>
  </si>
  <si>
    <t>Average Soluble</t>
  </si>
  <si>
    <t>STDEV Soluble</t>
  </si>
  <si>
    <t>Average Insoluble</t>
  </si>
  <si>
    <t>STDEV Insoluble</t>
  </si>
  <si>
    <t>Percent of GFP control</t>
  </si>
  <si>
    <t>Percent of DIV5 (WT)</t>
  </si>
  <si>
    <t>Figure 6 A/B</t>
  </si>
  <si>
    <t>Figure 11A</t>
  </si>
  <si>
    <t>Figure11B</t>
  </si>
  <si>
    <t>AU (Intensity)</t>
  </si>
  <si>
    <t xml:space="preserve">NMNAT2 FC </t>
  </si>
  <si>
    <t xml:space="preserve">NMNAT1 FC </t>
  </si>
  <si>
    <t>Figure S1A</t>
  </si>
  <si>
    <t>Figure S1B</t>
  </si>
  <si>
    <t>LUC (AU)</t>
  </si>
  <si>
    <t>Luc Values from 3 independent experiments</t>
  </si>
  <si>
    <t>Figure S4A</t>
  </si>
  <si>
    <t>Figure 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</si>
</sst>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  <font>
      <b/>
      <sz val="12"/>
      <name val="Calibri"/>
      <scheme val="minor"/>
    </font>
    <font>
      <sz val="12"/>
      <name val="Calibri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name val="Calibri"/>
      <family val="2"/>
      <scheme val="minor"/>
    </font>
    <font>
      <sz val="10"/>
      <color indexed="61"/>
      <name val="Arial"/>
      <family val="2"/>
    </font>
    <font>
      <sz val="10"/>
      <color indexed="8"/>
      <name val="Arial"/>
      <family val="2"/>
    </font>
    <font>
      <sz val="12"/>
      <color indexed="8"/>
      <name val="Arial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</font>
    <font>
      <sz val="11"/>
      <color rgb="FF000000"/>
      <name val="Calibri"/>
      <family val="2"/>
      <scheme val="minor"/>
    </font>
    <font>
      <b/>
      <sz val="12"/>
      <name val="Arial"/>
    </font>
    <font>
      <i/>
      <sz val="12"/>
      <color theme="1"/>
      <name val="Calibri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</borders>
  <cellStyleXfs count="2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 applyProtection="1">
      <alignment vertical="top"/>
      <protection locked="0"/>
    </xf>
    <xf numFmtId="0" fontId="5" fillId="0" borderId="0" xfId="0" applyFont="1" applyAlignment="1">
      <alignment vertical="center"/>
    </xf>
    <xf numFmtId="0" fontId="6" fillId="0" borderId="0" xfId="0" applyFont="1" applyAlignment="1" applyProtection="1">
      <alignment vertical="top"/>
      <protection locked="0"/>
    </xf>
    <xf numFmtId="0" fontId="6" fillId="0" borderId="0" xfId="0" applyFont="1" applyAlignment="1">
      <alignment vertical="center"/>
    </xf>
    <xf numFmtId="0" fontId="0" fillId="0" borderId="0" xfId="0" applyAlignment="1">
      <alignment vertical="top"/>
    </xf>
    <xf numFmtId="0" fontId="7" fillId="0" borderId="0" xfId="0" applyFont="1"/>
    <xf numFmtId="1" fontId="8" fillId="0" borderId="0" xfId="0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2" borderId="0" xfId="0" applyFill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2" borderId="1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4" xfId="0" applyFill="1" applyBorder="1"/>
    <xf numFmtId="0" fontId="0" fillId="2" borderId="15" xfId="0" applyFill="1" applyBorder="1"/>
    <xf numFmtId="0" fontId="0" fillId="3" borderId="6" xfId="0" applyFill="1" applyBorder="1"/>
    <xf numFmtId="0" fontId="0" fillId="3" borderId="15" xfId="0" applyFill="1" applyBorder="1"/>
    <xf numFmtId="0" fontId="0" fillId="2" borderId="16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6" xfId="0" applyFill="1" applyBorder="1"/>
    <xf numFmtId="164" fontId="10" fillId="0" borderId="0" xfId="0" applyNumberFormat="1" applyFont="1"/>
    <xf numFmtId="1" fontId="10" fillId="0" borderId="0" xfId="0" applyNumberFormat="1" applyFont="1"/>
    <xf numFmtId="164" fontId="11" fillId="0" borderId="0" xfId="0" applyNumberFormat="1" applyFont="1"/>
    <xf numFmtId="1" fontId="12" fillId="4" borderId="17" xfId="0" applyNumberFormat="1" applyFont="1" applyFill="1" applyBorder="1" applyAlignment="1">
      <alignment horizontal="right"/>
    </xf>
    <xf numFmtId="1" fontId="12" fillId="4" borderId="18" xfId="0" applyNumberFormat="1" applyFont="1" applyFill="1" applyBorder="1" applyAlignment="1">
      <alignment horizontal="right"/>
    </xf>
    <xf numFmtId="1" fontId="12" fillId="4" borderId="19" xfId="0" applyNumberFormat="1" applyFont="1" applyFill="1" applyBorder="1" applyAlignment="1">
      <alignment horizontal="right"/>
    </xf>
    <xf numFmtId="1" fontId="12" fillId="4" borderId="20" xfId="0" applyNumberFormat="1" applyFont="1" applyFill="1" applyBorder="1" applyAlignment="1">
      <alignment horizontal="right"/>
    </xf>
    <xf numFmtId="1" fontId="12" fillId="4" borderId="21" xfId="0" applyNumberFormat="1" applyFont="1" applyFill="1" applyBorder="1" applyAlignment="1">
      <alignment horizontal="right"/>
    </xf>
    <xf numFmtId="1" fontId="12" fillId="4" borderId="22" xfId="0" applyNumberFormat="1" applyFont="1" applyFill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16" fillId="0" borderId="0" xfId="0" applyFont="1"/>
    <xf numFmtId="0" fontId="17" fillId="0" borderId="0" xfId="0" applyFont="1" applyAlignment="1">
      <alignment horizontal="left"/>
    </xf>
    <xf numFmtId="0" fontId="0" fillId="7" borderId="0" xfId="0" applyFill="1"/>
    <xf numFmtId="0" fontId="1" fillId="0" borderId="0" xfId="0" applyFont="1" applyAlignment="1">
      <alignment horizontal="center"/>
    </xf>
    <xf numFmtId="0" fontId="18" fillId="0" borderId="0" xfId="0" applyFont="1"/>
    <xf numFmtId="0" fontId="0" fillId="0" borderId="6" xfId="0" applyBorder="1"/>
    <xf numFmtId="0" fontId="0" fillId="0" borderId="15" xfId="0" applyBorder="1"/>
    <xf numFmtId="0" fontId="0" fillId="8" borderId="0" xfId="0" applyFill="1" applyAlignment="1">
      <alignment horizontal="center"/>
    </xf>
    <xf numFmtId="0" fontId="0" fillId="8" borderId="0" xfId="0" applyFill="1"/>
    <xf numFmtId="1" fontId="19" fillId="0" borderId="0" xfId="0" applyNumberFormat="1" applyFont="1"/>
    <xf numFmtId="164" fontId="19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Soluble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1'!$G$67:$G$68</c:f>
                <c:numCache>
                  <c:formatCode>General</c:formatCode>
                  <c:ptCount val="2"/>
                  <c:pt idx="0">
                    <c:v>5.338304516580733E-2</c:v>
                  </c:pt>
                  <c:pt idx="1">
                    <c:v>3.1192531106391513E-2</c:v>
                  </c:pt>
                </c:numCache>
              </c:numRef>
            </c:plus>
            <c:minus>
              <c:numRef>
                <c:f>'Figure 1'!$G$67:$G$68</c:f>
                <c:numCache>
                  <c:formatCode>General</c:formatCode>
                  <c:ptCount val="2"/>
                  <c:pt idx="0">
                    <c:v>5.338304516580733E-2</c:v>
                  </c:pt>
                  <c:pt idx="1">
                    <c:v>3.1192531106391513E-2</c:v>
                  </c:pt>
                </c:numCache>
              </c:numRef>
            </c:minus>
            <c:spPr>
              <a:ln w="12700"/>
            </c:spPr>
          </c:errBars>
          <c:cat>
            <c:strRef>
              <c:f>'Figure 1'!$B$67:$B$68</c:f>
              <c:strCache>
                <c:ptCount val="2"/>
                <c:pt idx="0">
                  <c:v>Control</c:v>
                </c:pt>
                <c:pt idx="1">
                  <c:v>AD</c:v>
                </c:pt>
              </c:strCache>
            </c:strRef>
          </c:cat>
          <c:val>
            <c:numRef>
              <c:f>'Figure 1'!$F$67:$F$68</c:f>
              <c:numCache>
                <c:formatCode>General</c:formatCode>
                <c:ptCount val="2"/>
                <c:pt idx="0">
                  <c:v>1.0000000760065699</c:v>
                </c:pt>
                <c:pt idx="1">
                  <c:v>0.38547153879542689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4-E94F-88E0-9A54A484B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694888"/>
        <c:axId val="2095547480"/>
      </c:barChart>
      <c:catAx>
        <c:axId val="2095694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095547480"/>
        <c:crosses val="autoZero"/>
        <c:auto val="1"/>
        <c:lblAlgn val="ctr"/>
        <c:lblOffset val="100"/>
        <c:noMultiLvlLbl val="0"/>
      </c:catAx>
      <c:valAx>
        <c:axId val="2095547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095694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Insoluble Fraction</c:v>
          </c:tx>
          <c:spPr>
            <a:solidFill>
              <a:schemeClr val="tx1"/>
            </a:solidFill>
            <a:ln w="1270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1'!$E$69:$E$70</c:f>
                <c:numCache>
                  <c:formatCode>General</c:formatCode>
                  <c:ptCount val="2"/>
                  <c:pt idx="0">
                    <c:v>801.56319006801334</c:v>
                  </c:pt>
                  <c:pt idx="1">
                    <c:v>1691.3555181223671</c:v>
                  </c:pt>
                </c:numCache>
              </c:numRef>
            </c:plus>
            <c:minus>
              <c:numRef>
                <c:f>'Figure 1'!$E$69:$E$70</c:f>
                <c:numCache>
                  <c:formatCode>General</c:formatCode>
                  <c:ptCount val="2"/>
                  <c:pt idx="0">
                    <c:v>801.56319006801334</c:v>
                  </c:pt>
                  <c:pt idx="1">
                    <c:v>1691.3555181223671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1'!$B$69:$B$70</c:f>
              <c:strCache>
                <c:ptCount val="2"/>
                <c:pt idx="0">
                  <c:v>Control</c:v>
                </c:pt>
                <c:pt idx="1">
                  <c:v>AD</c:v>
                </c:pt>
              </c:strCache>
            </c:strRef>
          </c:cat>
          <c:val>
            <c:numRef>
              <c:f>'Figure 1'!$C$69:$C$70</c:f>
              <c:numCache>
                <c:formatCode>General</c:formatCode>
                <c:ptCount val="2"/>
                <c:pt idx="0">
                  <c:v>2196.3593896882544</c:v>
                </c:pt>
                <c:pt idx="1">
                  <c:v>12727.935476993051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E-C240-AF83-D3834098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611928"/>
        <c:axId val="2089911112"/>
      </c:barChart>
      <c:catAx>
        <c:axId val="2039611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089911112"/>
        <c:crosses val="autoZero"/>
        <c:auto val="1"/>
        <c:lblAlgn val="ctr"/>
        <c:lblOffset val="100"/>
        <c:noMultiLvlLbl val="0"/>
      </c:catAx>
      <c:valAx>
        <c:axId val="2089911112"/>
        <c:scaling>
          <c:orientation val="minMax"/>
          <c:max val="20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039611928"/>
        <c:crosses val="autoZero"/>
        <c:crossBetween val="between"/>
        <c:majorUnit val="5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 HS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2'!$D$30:$D$37</c:f>
                <c:numCache>
                  <c:formatCode>General</c:formatCode>
                  <c:ptCount val="8"/>
                  <c:pt idx="0">
                    <c:v>2.7670954392796633E-2</c:v>
                  </c:pt>
                  <c:pt idx="1">
                    <c:v>5.2198701157014478E-2</c:v>
                  </c:pt>
                  <c:pt idx="2">
                    <c:v>1.8454686650592189E-2</c:v>
                  </c:pt>
                  <c:pt idx="3">
                    <c:v>4.6722558195335426E-2</c:v>
                  </c:pt>
                  <c:pt idx="4">
                    <c:v>1.8333107937507517E-2</c:v>
                  </c:pt>
                  <c:pt idx="5">
                    <c:v>5.2543211454516875E-2</c:v>
                  </c:pt>
                  <c:pt idx="6">
                    <c:v>7.4856292957674597E-2</c:v>
                  </c:pt>
                  <c:pt idx="7">
                    <c:v>7.683631301459351E-2</c:v>
                  </c:pt>
                </c:numCache>
              </c:numRef>
            </c:plus>
            <c:minus>
              <c:numRef>
                <c:f>'Figure 2'!$D$30:$D$37</c:f>
                <c:numCache>
                  <c:formatCode>General</c:formatCode>
                  <c:ptCount val="8"/>
                  <c:pt idx="0">
                    <c:v>2.7670954392796633E-2</c:v>
                  </c:pt>
                  <c:pt idx="1">
                    <c:v>5.2198701157014478E-2</c:v>
                  </c:pt>
                  <c:pt idx="2">
                    <c:v>1.8454686650592189E-2</c:v>
                  </c:pt>
                  <c:pt idx="3">
                    <c:v>4.6722558195335426E-2</c:v>
                  </c:pt>
                  <c:pt idx="4">
                    <c:v>1.8333107937507517E-2</c:v>
                  </c:pt>
                  <c:pt idx="5">
                    <c:v>5.2543211454516875E-2</c:v>
                  </c:pt>
                  <c:pt idx="6">
                    <c:v>7.4856292957674597E-2</c:v>
                  </c:pt>
                  <c:pt idx="7">
                    <c:v>7.683631301459351E-2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'Figure 2'!$B$30:$B$37</c:f>
              <c:strCache>
                <c:ptCount val="8"/>
                <c:pt idx="0">
                  <c:v>mCherry</c:v>
                </c:pt>
                <c:pt idx="1">
                  <c:v>HSP70</c:v>
                </c:pt>
                <c:pt idx="2">
                  <c:v>NMNAT2</c:v>
                </c:pt>
                <c:pt idx="3">
                  <c:v>NMNAT2 Delta N Term</c:v>
                </c:pt>
                <c:pt idx="4">
                  <c:v>ED</c:v>
                </c:pt>
                <c:pt idx="5">
                  <c:v>PM</c:v>
                </c:pt>
                <c:pt idx="6">
                  <c:v>NMNAT2 DeltaCTerm</c:v>
                </c:pt>
                <c:pt idx="7">
                  <c:v>NMNAT2 CATP</c:v>
                </c:pt>
              </c:strCache>
            </c:strRef>
          </c:cat>
          <c:val>
            <c:numRef>
              <c:f>'Figure 2'!$C$30:$C$37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D-9C4D-9D65-9DE8D4A24EE7}"/>
            </c:ext>
          </c:extLst>
        </c:ser>
        <c:ser>
          <c:idx val="1"/>
          <c:order val="1"/>
          <c:tx>
            <c:v>HS</c:v>
          </c:tx>
          <c:spPr>
            <a:solidFill>
              <a:srgbClr val="A6A6A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2'!$F$30:$F$37</c:f>
                <c:numCache>
                  <c:formatCode>General</c:formatCode>
                  <c:ptCount val="8"/>
                  <c:pt idx="0">
                    <c:v>9.8046102184472829E-3</c:v>
                  </c:pt>
                  <c:pt idx="1">
                    <c:v>9.164770036701738E-3</c:v>
                  </c:pt>
                  <c:pt idx="2">
                    <c:v>3.2955073671016924E-2</c:v>
                  </c:pt>
                  <c:pt idx="3">
                    <c:v>1.3201171604362766E-2</c:v>
                  </c:pt>
                  <c:pt idx="4">
                    <c:v>1.0218822312799237E-2</c:v>
                  </c:pt>
                  <c:pt idx="5">
                    <c:v>4.314160498805452E-2</c:v>
                  </c:pt>
                  <c:pt idx="6">
                    <c:v>1.5787741174707735E-2</c:v>
                  </c:pt>
                  <c:pt idx="7">
                    <c:v>2.0331829191637715E-2</c:v>
                  </c:pt>
                </c:numCache>
              </c:numRef>
            </c:plus>
            <c:minus>
              <c:numRef>
                <c:f>'Figure 2'!$F$30:$F$37</c:f>
                <c:numCache>
                  <c:formatCode>General</c:formatCode>
                  <c:ptCount val="8"/>
                  <c:pt idx="0">
                    <c:v>9.8046102184472829E-3</c:v>
                  </c:pt>
                  <c:pt idx="1">
                    <c:v>9.164770036701738E-3</c:v>
                  </c:pt>
                  <c:pt idx="2">
                    <c:v>3.2955073671016924E-2</c:v>
                  </c:pt>
                  <c:pt idx="3">
                    <c:v>1.3201171604362766E-2</c:v>
                  </c:pt>
                  <c:pt idx="4">
                    <c:v>1.0218822312799237E-2</c:v>
                  </c:pt>
                  <c:pt idx="5">
                    <c:v>4.314160498805452E-2</c:v>
                  </c:pt>
                  <c:pt idx="6">
                    <c:v>1.5787741174707735E-2</c:v>
                  </c:pt>
                  <c:pt idx="7">
                    <c:v>2.0331829191637715E-2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'Figure 2'!$B$30:$B$37</c:f>
              <c:strCache>
                <c:ptCount val="8"/>
                <c:pt idx="0">
                  <c:v>mCherry</c:v>
                </c:pt>
                <c:pt idx="1">
                  <c:v>HSP70</c:v>
                </c:pt>
                <c:pt idx="2">
                  <c:v>NMNAT2</c:v>
                </c:pt>
                <c:pt idx="3">
                  <c:v>NMNAT2 Delta N Term</c:v>
                </c:pt>
                <c:pt idx="4">
                  <c:v>ED</c:v>
                </c:pt>
                <c:pt idx="5">
                  <c:v>PM</c:v>
                </c:pt>
                <c:pt idx="6">
                  <c:v>NMNAT2 DeltaCTerm</c:v>
                </c:pt>
                <c:pt idx="7">
                  <c:v>NMNAT2 CATP</c:v>
                </c:pt>
              </c:strCache>
            </c:strRef>
          </c:cat>
          <c:val>
            <c:numRef>
              <c:f>'Figure 2'!$E$30:$E$37</c:f>
              <c:numCache>
                <c:formatCode>General</c:formatCode>
                <c:ptCount val="8"/>
                <c:pt idx="0">
                  <c:v>8.0122035093517577E-2</c:v>
                </c:pt>
                <c:pt idx="1">
                  <c:v>0.19663362593950648</c:v>
                </c:pt>
                <c:pt idx="2">
                  <c:v>0.22897952691220894</c:v>
                </c:pt>
                <c:pt idx="3">
                  <c:v>0.22963429737339591</c:v>
                </c:pt>
                <c:pt idx="4">
                  <c:v>0.18503466298810342</c:v>
                </c:pt>
                <c:pt idx="5">
                  <c:v>0.42599307782568779</c:v>
                </c:pt>
                <c:pt idx="6">
                  <c:v>0.16108925186199222</c:v>
                </c:pt>
                <c:pt idx="7">
                  <c:v>0.17337409857705066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D-9C4D-9D65-9DE8D4A24EE7}"/>
            </c:ext>
          </c:extLst>
        </c:ser>
        <c:ser>
          <c:idx val="2"/>
          <c:order val="2"/>
          <c:tx>
            <c:v>Recovery</c:v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2'!$H$30:$H$37</c:f>
                <c:numCache>
                  <c:formatCode>General</c:formatCode>
                  <c:ptCount val="8"/>
                  <c:pt idx="0">
                    <c:v>1.3504539294288593E-2</c:v>
                  </c:pt>
                  <c:pt idx="1">
                    <c:v>4.8270347683120995E-2</c:v>
                  </c:pt>
                  <c:pt idx="2">
                    <c:v>4.8708592850907277E-2</c:v>
                  </c:pt>
                  <c:pt idx="3">
                    <c:v>0.12113306235905291</c:v>
                  </c:pt>
                  <c:pt idx="4">
                    <c:v>5.3801013176693495E-2</c:v>
                  </c:pt>
                  <c:pt idx="5">
                    <c:v>1.1757264303480473E-2</c:v>
                  </c:pt>
                  <c:pt idx="6">
                    <c:v>1.0224004794722411E-2</c:v>
                  </c:pt>
                  <c:pt idx="7">
                    <c:v>1.7282825620749478E-2</c:v>
                  </c:pt>
                </c:numCache>
              </c:numRef>
            </c:plus>
            <c:minus>
              <c:numRef>
                <c:f>'Figure 2'!$H$30:$H$37</c:f>
                <c:numCache>
                  <c:formatCode>General</c:formatCode>
                  <c:ptCount val="8"/>
                  <c:pt idx="0">
                    <c:v>1.3504539294288593E-2</c:v>
                  </c:pt>
                  <c:pt idx="1">
                    <c:v>4.8270347683120995E-2</c:v>
                  </c:pt>
                  <c:pt idx="2">
                    <c:v>4.8708592850907277E-2</c:v>
                  </c:pt>
                  <c:pt idx="3">
                    <c:v>0.12113306235905291</c:v>
                  </c:pt>
                  <c:pt idx="4">
                    <c:v>5.3801013176693495E-2</c:v>
                  </c:pt>
                  <c:pt idx="5">
                    <c:v>1.1757264303480473E-2</c:v>
                  </c:pt>
                  <c:pt idx="6">
                    <c:v>1.0224004794722411E-2</c:v>
                  </c:pt>
                  <c:pt idx="7">
                    <c:v>1.7282825620749478E-2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'Figure 2'!$B$30:$B$37</c:f>
              <c:strCache>
                <c:ptCount val="8"/>
                <c:pt idx="0">
                  <c:v>mCherry</c:v>
                </c:pt>
                <c:pt idx="1">
                  <c:v>HSP70</c:v>
                </c:pt>
                <c:pt idx="2">
                  <c:v>NMNAT2</c:v>
                </c:pt>
                <c:pt idx="3">
                  <c:v>NMNAT2 Delta N Term</c:v>
                </c:pt>
                <c:pt idx="4">
                  <c:v>ED</c:v>
                </c:pt>
                <c:pt idx="5">
                  <c:v>PM</c:v>
                </c:pt>
                <c:pt idx="6">
                  <c:v>NMNAT2 DeltaCTerm</c:v>
                </c:pt>
                <c:pt idx="7">
                  <c:v>NMNAT2 CATP</c:v>
                </c:pt>
              </c:strCache>
            </c:strRef>
          </c:cat>
          <c:val>
            <c:numRef>
              <c:f>'Figure 2'!$G$30:$G$37</c:f>
              <c:numCache>
                <c:formatCode>General</c:formatCode>
                <c:ptCount val="8"/>
                <c:pt idx="0">
                  <c:v>0.20693179418833152</c:v>
                </c:pt>
                <c:pt idx="1">
                  <c:v>0.65514459449921059</c:v>
                </c:pt>
                <c:pt idx="2">
                  <c:v>0.70459440859662215</c:v>
                </c:pt>
                <c:pt idx="3">
                  <c:v>0.71396279067868529</c:v>
                </c:pt>
                <c:pt idx="4">
                  <c:v>0.63624155999999998</c:v>
                </c:pt>
                <c:pt idx="5">
                  <c:v>0.849884358054669</c:v>
                </c:pt>
                <c:pt idx="6">
                  <c:v>0.21905356117601427</c:v>
                </c:pt>
                <c:pt idx="7">
                  <c:v>0.22043811311680653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D-9C4D-9D65-9DE8D4A24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363416"/>
        <c:axId val="2092643944"/>
      </c:barChart>
      <c:catAx>
        <c:axId val="2092363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092643944"/>
        <c:crosses val="autoZero"/>
        <c:auto val="1"/>
        <c:lblAlgn val="ctr"/>
        <c:lblOffset val="100"/>
        <c:noMultiLvlLbl val="0"/>
      </c:catAx>
      <c:valAx>
        <c:axId val="2092643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0923634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14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3'!$I$28:$I$31</c:f>
                <c:numCache>
                  <c:formatCode>General</c:formatCode>
                  <c:ptCount val="4"/>
                  <c:pt idx="0">
                    <c:v>0.12253615990485053</c:v>
                  </c:pt>
                  <c:pt idx="1">
                    <c:v>3.0302016804976212E-2</c:v>
                  </c:pt>
                  <c:pt idx="2">
                    <c:v>8.6750154438005656E-2</c:v>
                  </c:pt>
                  <c:pt idx="3">
                    <c:v>0.14591500365975654</c:v>
                  </c:pt>
                </c:numCache>
              </c:numRef>
            </c:plus>
            <c:minus>
              <c:numRef>
                <c:f>'Figure 3'!$I$28:$I$31</c:f>
                <c:numCache>
                  <c:formatCode>General</c:formatCode>
                  <c:ptCount val="4"/>
                  <c:pt idx="0">
                    <c:v>0.12253615990485053</c:v>
                  </c:pt>
                  <c:pt idx="1">
                    <c:v>3.0302016804976212E-2</c:v>
                  </c:pt>
                  <c:pt idx="2">
                    <c:v>8.6750154438005656E-2</c:v>
                  </c:pt>
                  <c:pt idx="3">
                    <c:v>0.14591500365975654</c:v>
                  </c:pt>
                </c:numCache>
              </c:numRef>
            </c:minus>
          </c:errBars>
          <c:cat>
            <c:strRef>
              <c:f>'Figure 3'!$G$28:$G$31</c:f>
              <c:strCache>
                <c:ptCount val="4"/>
                <c:pt idx="0">
                  <c:v>GFP</c:v>
                </c:pt>
                <c:pt idx="1">
                  <c:v>WT</c:v>
                </c:pt>
                <c:pt idx="2">
                  <c:v>ED</c:v>
                </c:pt>
                <c:pt idx="3">
                  <c:v>cATP</c:v>
                </c:pt>
              </c:strCache>
            </c:strRef>
          </c:cat>
          <c:val>
            <c:numRef>
              <c:f>'Figure 3'!$H$28:$H$31</c:f>
              <c:numCache>
                <c:formatCode>General</c:formatCode>
                <c:ptCount val="4"/>
                <c:pt idx="0">
                  <c:v>1.0000015295361071</c:v>
                </c:pt>
                <c:pt idx="1">
                  <c:v>0.18064855390008766</c:v>
                </c:pt>
                <c:pt idx="2">
                  <c:v>0.22579432633876473</c:v>
                </c:pt>
                <c:pt idx="3">
                  <c:v>0.99163455660532718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D-1E4E-8D8E-DE2727A0C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353144"/>
        <c:axId val="2100247480"/>
      </c:barChart>
      <c:catAx>
        <c:axId val="2098353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100247480"/>
        <c:crosses val="autoZero"/>
        <c:auto val="1"/>
        <c:lblAlgn val="ctr"/>
        <c:lblOffset val="100"/>
        <c:noMultiLvlLbl val="0"/>
      </c:catAx>
      <c:valAx>
        <c:axId val="2100247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8353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PHF-1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[1]Sheet1!$O$14:$O$20</c:f>
                <c:numCache>
                  <c:formatCode>General</c:formatCode>
                  <c:ptCount val="7"/>
                  <c:pt idx="0">
                    <c:v>0.13310694986112984</c:v>
                  </c:pt>
                  <c:pt idx="1">
                    <c:v>0.13147381006211131</c:v>
                  </c:pt>
                  <c:pt idx="2">
                    <c:v>9.727114788640627E-2</c:v>
                  </c:pt>
                  <c:pt idx="3">
                    <c:v>5.5743250727572594E-2</c:v>
                  </c:pt>
                  <c:pt idx="4">
                    <c:v>5.3605012064875286E-2</c:v>
                  </c:pt>
                  <c:pt idx="5">
                    <c:v>0.18626673009474454</c:v>
                  </c:pt>
                  <c:pt idx="6">
                    <c:v>0.16677670592109545</c:v>
                  </c:pt>
                </c:numCache>
              </c:numRef>
            </c:plus>
            <c:minus>
              <c:numRef>
                <c:f>[1]Sheet1!$O$14:$O$20</c:f>
                <c:numCache>
                  <c:formatCode>General</c:formatCode>
                  <c:ptCount val="7"/>
                  <c:pt idx="0">
                    <c:v>0.13310694986112984</c:v>
                  </c:pt>
                  <c:pt idx="1">
                    <c:v>0.13147381006211131</c:v>
                  </c:pt>
                  <c:pt idx="2">
                    <c:v>9.727114788640627E-2</c:v>
                  </c:pt>
                  <c:pt idx="3">
                    <c:v>5.5743250727572594E-2</c:v>
                  </c:pt>
                  <c:pt idx="4">
                    <c:v>5.3605012064875286E-2</c:v>
                  </c:pt>
                  <c:pt idx="5">
                    <c:v>0.18626673009474454</c:v>
                  </c:pt>
                  <c:pt idx="6">
                    <c:v>0.16677670592109545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[1]Sheet1!$J$14:$J$20</c:f>
              <c:strCache>
                <c:ptCount val="7"/>
                <c:pt idx="0">
                  <c:v>mcherry</c:v>
                </c:pt>
                <c:pt idx="1">
                  <c:v>hsp70</c:v>
                </c:pt>
                <c:pt idx="2">
                  <c:v>nmnat2</c:v>
                </c:pt>
                <c:pt idx="3">
                  <c:v>ed</c:v>
                </c:pt>
                <c:pt idx="4">
                  <c:v>pm</c:v>
                </c:pt>
                <c:pt idx="5">
                  <c:v>catp</c:v>
                </c:pt>
                <c:pt idx="6">
                  <c:v>ctd</c:v>
                </c:pt>
              </c:strCache>
            </c:strRef>
          </c:cat>
          <c:val>
            <c:numRef>
              <c:f>[1]Sheet1!$K$14:$K$20</c:f>
              <c:numCache>
                <c:formatCode>General</c:formatCode>
                <c:ptCount val="7"/>
                <c:pt idx="0">
                  <c:v>1</c:v>
                </c:pt>
                <c:pt idx="1">
                  <c:v>0.42581721729141925</c:v>
                </c:pt>
                <c:pt idx="2">
                  <c:v>0.47676568515161072</c:v>
                </c:pt>
                <c:pt idx="3">
                  <c:v>0.49034373474261977</c:v>
                </c:pt>
                <c:pt idx="4">
                  <c:v>0.3613388173491503</c:v>
                </c:pt>
                <c:pt idx="5">
                  <c:v>1.0643091814700381</c:v>
                </c:pt>
                <c:pt idx="6">
                  <c:v>1.0597775674731438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C-2043-9E2D-4F4C88558EFD}"/>
            </c:ext>
          </c:extLst>
        </c:ser>
        <c:ser>
          <c:idx val="1"/>
          <c:order val="1"/>
          <c:tx>
            <c:v>Total Tau</c:v>
          </c:tx>
          <c:spPr>
            <a:solidFill>
              <a:schemeClr val="tx1"/>
            </a:solidFill>
            <a:ln w="1270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[1]Sheet1!$P$14:$P$20</c:f>
                <c:numCache>
                  <c:formatCode>General</c:formatCode>
                  <c:ptCount val="7"/>
                  <c:pt idx="0">
                    <c:v>9.0066641993581623E-2</c:v>
                  </c:pt>
                  <c:pt idx="1">
                    <c:v>0.19779790209408354</c:v>
                  </c:pt>
                  <c:pt idx="2">
                    <c:v>0.11215025426084391</c:v>
                  </c:pt>
                  <c:pt idx="3">
                    <c:v>6.9500509786014367E-2</c:v>
                  </c:pt>
                  <c:pt idx="4">
                    <c:v>5.4725569115258721E-2</c:v>
                  </c:pt>
                  <c:pt idx="5">
                    <c:v>0.16901833554290921</c:v>
                  </c:pt>
                  <c:pt idx="6">
                    <c:v>0.20768976717550242</c:v>
                  </c:pt>
                </c:numCache>
              </c:numRef>
            </c:plus>
            <c:minus>
              <c:numRef>
                <c:f>[1]Sheet1!$P$14:$P$20</c:f>
                <c:numCache>
                  <c:formatCode>General</c:formatCode>
                  <c:ptCount val="7"/>
                  <c:pt idx="0">
                    <c:v>9.0066641993581623E-2</c:v>
                  </c:pt>
                  <c:pt idx="1">
                    <c:v>0.19779790209408354</c:v>
                  </c:pt>
                  <c:pt idx="2">
                    <c:v>0.11215025426084391</c:v>
                  </c:pt>
                  <c:pt idx="3">
                    <c:v>6.9500509786014367E-2</c:v>
                  </c:pt>
                  <c:pt idx="4">
                    <c:v>5.4725569115258721E-2</c:v>
                  </c:pt>
                  <c:pt idx="5">
                    <c:v>0.16901833554290921</c:v>
                  </c:pt>
                  <c:pt idx="6">
                    <c:v>0.20768976717550242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[1]Sheet1!$J$14:$J$20</c:f>
              <c:strCache>
                <c:ptCount val="7"/>
                <c:pt idx="0">
                  <c:v>mcherry</c:v>
                </c:pt>
                <c:pt idx="1">
                  <c:v>hsp70</c:v>
                </c:pt>
                <c:pt idx="2">
                  <c:v>nmnat2</c:v>
                </c:pt>
                <c:pt idx="3">
                  <c:v>ed</c:v>
                </c:pt>
                <c:pt idx="4">
                  <c:v>pm</c:v>
                </c:pt>
                <c:pt idx="5">
                  <c:v>catp</c:v>
                </c:pt>
                <c:pt idx="6">
                  <c:v>ctd</c:v>
                </c:pt>
              </c:strCache>
            </c:strRef>
          </c:cat>
          <c:val>
            <c:numRef>
              <c:f>[1]Sheet1!$M$14:$M$20</c:f>
              <c:numCache>
                <c:formatCode>General</c:formatCode>
                <c:ptCount val="7"/>
                <c:pt idx="0">
                  <c:v>1.0000000491255037</c:v>
                </c:pt>
                <c:pt idx="1">
                  <c:v>0.94593957314721189</c:v>
                </c:pt>
                <c:pt idx="2">
                  <c:v>1.0512963019667827</c:v>
                </c:pt>
                <c:pt idx="3">
                  <c:v>1.0873657814440991</c:v>
                </c:pt>
                <c:pt idx="4">
                  <c:v>0.975297261352981</c:v>
                </c:pt>
                <c:pt idx="5">
                  <c:v>1.1063693539275228</c:v>
                </c:pt>
                <c:pt idx="6">
                  <c:v>1.1469560380466821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C-2043-9E2D-4F4C8855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309112"/>
        <c:axId val="2099124056"/>
      </c:barChart>
      <c:catAx>
        <c:axId val="2092309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99124056"/>
        <c:crosses val="autoZero"/>
        <c:auto val="1"/>
        <c:lblAlgn val="ctr"/>
        <c:lblOffset val="100"/>
        <c:noMultiLvlLbl val="0"/>
      </c:catAx>
      <c:valAx>
        <c:axId val="2099124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2309112"/>
        <c:crosses val="autoZero"/>
        <c:crossBetween val="between"/>
        <c:majorUnit val="0.4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21741032370901E-2"/>
          <c:y val="6.0185185185185203E-2"/>
          <c:w val="0.89616294838145205"/>
          <c:h val="0.84098789734616497"/>
        </c:manualLayout>
      </c:layout>
      <c:barChart>
        <c:barDir val="col"/>
        <c:grouping val="clustered"/>
        <c:varyColors val="0"/>
        <c:ser>
          <c:idx val="0"/>
          <c:order val="0"/>
          <c:tx>
            <c:v>AT8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3'!$E$72:$E$75</c:f>
                <c:numCache>
                  <c:formatCode>General</c:formatCode>
                  <c:ptCount val="4"/>
                  <c:pt idx="0">
                    <c:v>1.5278468169549001E-2</c:v>
                  </c:pt>
                  <c:pt idx="1">
                    <c:v>1.7450843855387463E-2</c:v>
                  </c:pt>
                  <c:pt idx="2">
                    <c:v>4.2073989197855703E-2</c:v>
                  </c:pt>
                  <c:pt idx="3">
                    <c:v>9.452825797453919E-2</c:v>
                  </c:pt>
                </c:numCache>
              </c:numRef>
            </c:plus>
            <c:minus>
              <c:numRef>
                <c:f>'Figure 3'!$E$72:$E$75</c:f>
                <c:numCache>
                  <c:formatCode>General</c:formatCode>
                  <c:ptCount val="4"/>
                  <c:pt idx="0">
                    <c:v>1.5278468169549001E-2</c:v>
                  </c:pt>
                  <c:pt idx="1">
                    <c:v>1.7450843855387463E-2</c:v>
                  </c:pt>
                  <c:pt idx="2">
                    <c:v>4.2073989197855703E-2</c:v>
                  </c:pt>
                  <c:pt idx="3">
                    <c:v>9.452825797453919E-2</c:v>
                  </c:pt>
                </c:numCache>
              </c:numRef>
            </c:minus>
          </c:errBars>
          <c:cat>
            <c:strRef>
              <c:f>'Figure 3'!$C$72:$C$75</c:f>
              <c:strCache>
                <c:ptCount val="4"/>
                <c:pt idx="0">
                  <c:v>GFP</c:v>
                </c:pt>
                <c:pt idx="1">
                  <c:v>WT</c:v>
                </c:pt>
                <c:pt idx="2">
                  <c:v>ED</c:v>
                </c:pt>
                <c:pt idx="3">
                  <c:v>cATP</c:v>
                </c:pt>
              </c:strCache>
            </c:strRef>
          </c:cat>
          <c:val>
            <c:numRef>
              <c:f>'Figure 3'!$D$72:$D$75</c:f>
              <c:numCache>
                <c:formatCode>General</c:formatCode>
                <c:ptCount val="4"/>
                <c:pt idx="0">
                  <c:v>1.0000000944061713</c:v>
                </c:pt>
                <c:pt idx="1">
                  <c:v>0.42731390942337494</c:v>
                </c:pt>
                <c:pt idx="2">
                  <c:v>0.36240687726055026</c:v>
                </c:pt>
                <c:pt idx="3">
                  <c:v>0.99891728508823208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D-FE46-BA0A-C29D5EDE7073}"/>
            </c:ext>
          </c:extLst>
        </c:ser>
        <c:ser>
          <c:idx val="1"/>
          <c:order val="1"/>
          <c:tx>
            <c:v>PHF-1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3'!$G$72:$G$75</c:f>
                <c:numCache>
                  <c:formatCode>General</c:formatCode>
                  <c:ptCount val="4"/>
                  <c:pt idx="0">
                    <c:v>7.3068537352678251E-2</c:v>
                  </c:pt>
                  <c:pt idx="1">
                    <c:v>0.12639640277486222</c:v>
                  </c:pt>
                  <c:pt idx="2">
                    <c:v>7.7911007799411361E-2</c:v>
                  </c:pt>
                  <c:pt idx="3">
                    <c:v>0.1013693284633536</c:v>
                  </c:pt>
                </c:numCache>
              </c:numRef>
            </c:plus>
            <c:minus>
              <c:numRef>
                <c:f>'Figure 3'!$G$72:$G$75</c:f>
                <c:numCache>
                  <c:formatCode>General</c:formatCode>
                  <c:ptCount val="4"/>
                  <c:pt idx="0">
                    <c:v>7.3068537352678251E-2</c:v>
                  </c:pt>
                  <c:pt idx="1">
                    <c:v>0.12639640277486222</c:v>
                  </c:pt>
                  <c:pt idx="2">
                    <c:v>7.7911007799411361E-2</c:v>
                  </c:pt>
                  <c:pt idx="3">
                    <c:v>0.1013693284633536</c:v>
                  </c:pt>
                </c:numCache>
              </c:numRef>
            </c:minus>
          </c:errBars>
          <c:cat>
            <c:strRef>
              <c:f>'Figure 3'!$C$72:$C$75</c:f>
              <c:strCache>
                <c:ptCount val="4"/>
                <c:pt idx="0">
                  <c:v>GFP</c:v>
                </c:pt>
                <c:pt idx="1">
                  <c:v>WT</c:v>
                </c:pt>
                <c:pt idx="2">
                  <c:v>ED</c:v>
                </c:pt>
                <c:pt idx="3">
                  <c:v>cATP</c:v>
                </c:pt>
              </c:strCache>
            </c:strRef>
          </c:cat>
          <c:val>
            <c:numRef>
              <c:f>'Figure 3'!$F$72:$F$75</c:f>
              <c:numCache>
                <c:formatCode>General</c:formatCode>
                <c:ptCount val="4"/>
                <c:pt idx="0">
                  <c:v>1.0000000011248522</c:v>
                </c:pt>
                <c:pt idx="1">
                  <c:v>0.56545319601357236</c:v>
                </c:pt>
                <c:pt idx="2">
                  <c:v>0.54136100225607231</c:v>
                </c:pt>
                <c:pt idx="3">
                  <c:v>1.2285643908768076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D-FE46-BA0A-C29D5EDE7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412840"/>
        <c:axId val="2092241512"/>
      </c:barChart>
      <c:catAx>
        <c:axId val="2089412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2241512"/>
        <c:crosses val="autoZero"/>
        <c:auto val="1"/>
        <c:lblAlgn val="ctr"/>
        <c:lblOffset val="100"/>
        <c:noMultiLvlLbl val="0"/>
      </c:catAx>
      <c:valAx>
        <c:axId val="2092241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89412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9706911636045406E-2"/>
          <c:y val="2.7393919510061201E-2"/>
          <c:w val="0.11973753280839899"/>
          <c:h val="0.18595290172061801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 HS</c:v>
          </c:tx>
          <c:spPr>
            <a:solidFill>
              <a:srgbClr val="3366FF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4'!$C$51:$C$56</c:f>
                <c:numCache>
                  <c:formatCode>General</c:formatCode>
                  <c:ptCount val="6"/>
                  <c:pt idx="0">
                    <c:v>5.0432980530983003E-2</c:v>
                  </c:pt>
                  <c:pt idx="1">
                    <c:v>7.9456340456331969E-3</c:v>
                  </c:pt>
                  <c:pt idx="2">
                    <c:v>7.5069254164621485E-2</c:v>
                  </c:pt>
                  <c:pt idx="3">
                    <c:v>5.307519038401845E-2</c:v>
                  </c:pt>
                  <c:pt idx="4">
                    <c:v>3.431592300215134E-2</c:v>
                  </c:pt>
                  <c:pt idx="5">
                    <c:v>4.6700247107955589E-2</c:v>
                  </c:pt>
                </c:numCache>
              </c:numRef>
            </c:plus>
            <c:minus>
              <c:numRef>
                <c:f>'Figure 4'!$C$51:$C$56</c:f>
                <c:numCache>
                  <c:formatCode>General</c:formatCode>
                  <c:ptCount val="6"/>
                  <c:pt idx="0">
                    <c:v>5.0432980530983003E-2</c:v>
                  </c:pt>
                  <c:pt idx="1">
                    <c:v>7.9456340456331969E-3</c:v>
                  </c:pt>
                  <c:pt idx="2">
                    <c:v>7.5069254164621485E-2</c:v>
                  </c:pt>
                  <c:pt idx="3">
                    <c:v>5.307519038401845E-2</c:v>
                  </c:pt>
                  <c:pt idx="4">
                    <c:v>3.431592300215134E-2</c:v>
                  </c:pt>
                  <c:pt idx="5">
                    <c:v>4.6700247107955589E-2</c:v>
                  </c:pt>
                </c:numCache>
              </c:numRef>
            </c:minus>
          </c:errBars>
          <c:cat>
            <c:strRef>
              <c:f>'Figure 4'!$A$51:$A$56</c:f>
              <c:strCache>
                <c:ptCount val="6"/>
                <c:pt idx="0">
                  <c:v>NMNAT2</c:v>
                </c:pt>
                <c:pt idx="1">
                  <c:v>NMNAT2+AAG</c:v>
                </c:pt>
                <c:pt idx="2">
                  <c:v>NMNAT2+siRNA</c:v>
                </c:pt>
                <c:pt idx="3">
                  <c:v>NMNAT2+KRI</c:v>
                </c:pt>
                <c:pt idx="4">
                  <c:v>NMNAT2+AAG+KRI</c:v>
                </c:pt>
                <c:pt idx="5">
                  <c:v>NMNAT2+siRNA+KRI</c:v>
                </c:pt>
              </c:strCache>
            </c:strRef>
          </c:cat>
          <c:val>
            <c:numRef>
              <c:f>'Figure 4'!$B$51:$B$56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1.0000000000000002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C-0942-82C3-8EE1E50F2B01}"/>
            </c:ext>
          </c:extLst>
        </c:ser>
        <c:ser>
          <c:idx val="1"/>
          <c:order val="1"/>
          <c:tx>
            <c:v>HS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4'!$E$51:$E$56</c:f>
                <c:numCache>
                  <c:formatCode>General</c:formatCode>
                  <c:ptCount val="6"/>
                  <c:pt idx="0">
                    <c:v>3.947613414120513E-3</c:v>
                  </c:pt>
                  <c:pt idx="1">
                    <c:v>2.2336577170071828E-2</c:v>
                  </c:pt>
                  <c:pt idx="2">
                    <c:v>2.5640984209247947E-2</c:v>
                  </c:pt>
                  <c:pt idx="3">
                    <c:v>3.1680552544716779E-2</c:v>
                  </c:pt>
                  <c:pt idx="4">
                    <c:v>5.3525682911127314E-3</c:v>
                  </c:pt>
                  <c:pt idx="5">
                    <c:v>8.7810590127117734E-3</c:v>
                  </c:pt>
                </c:numCache>
              </c:numRef>
            </c:plus>
            <c:minus>
              <c:numRef>
                <c:f>'Figure 4'!$E$51:$E$56</c:f>
                <c:numCache>
                  <c:formatCode>General</c:formatCode>
                  <c:ptCount val="6"/>
                  <c:pt idx="0">
                    <c:v>3.947613414120513E-3</c:v>
                  </c:pt>
                  <c:pt idx="1">
                    <c:v>2.2336577170071828E-2</c:v>
                  </c:pt>
                  <c:pt idx="2">
                    <c:v>2.5640984209247947E-2</c:v>
                  </c:pt>
                  <c:pt idx="3">
                    <c:v>3.1680552544716779E-2</c:v>
                  </c:pt>
                  <c:pt idx="4">
                    <c:v>5.3525682911127314E-3</c:v>
                  </c:pt>
                  <c:pt idx="5">
                    <c:v>8.7810590127117734E-3</c:v>
                  </c:pt>
                </c:numCache>
              </c:numRef>
            </c:minus>
          </c:errBars>
          <c:val>
            <c:numRef>
              <c:f>'Figure 4'!$D$51:$D$56</c:f>
              <c:numCache>
                <c:formatCode>General</c:formatCode>
                <c:ptCount val="6"/>
                <c:pt idx="0">
                  <c:v>0.24295861172657174</c:v>
                </c:pt>
                <c:pt idx="1">
                  <c:v>0.32044216385520441</c:v>
                </c:pt>
                <c:pt idx="2">
                  <c:v>0.32628378738970787</c:v>
                </c:pt>
                <c:pt idx="3">
                  <c:v>0.20283144661861871</c:v>
                </c:pt>
                <c:pt idx="4">
                  <c:v>0.25131578057908477</c:v>
                </c:pt>
                <c:pt idx="5">
                  <c:v>0.23429131597751607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C-0942-82C3-8EE1E50F2B01}"/>
            </c:ext>
          </c:extLst>
        </c:ser>
        <c:ser>
          <c:idx val="2"/>
          <c:order val="2"/>
          <c:tx>
            <c:v>Recovery</c:v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4'!$G$51:$G$56</c:f>
                <c:numCache>
                  <c:formatCode>General</c:formatCode>
                  <c:ptCount val="6"/>
                  <c:pt idx="0">
                    <c:v>1.6077476164591108E-2</c:v>
                  </c:pt>
                  <c:pt idx="1">
                    <c:v>8.8412533042009148E-3</c:v>
                  </c:pt>
                  <c:pt idx="2">
                    <c:v>3.5665793565241403E-3</c:v>
                  </c:pt>
                  <c:pt idx="3">
                    <c:v>1.64429085277078E-2</c:v>
                  </c:pt>
                  <c:pt idx="4">
                    <c:v>1.5413608639456903E-2</c:v>
                  </c:pt>
                  <c:pt idx="5">
                    <c:v>3.2463839390248599E-2</c:v>
                  </c:pt>
                </c:numCache>
              </c:numRef>
            </c:plus>
            <c:minus>
              <c:numRef>
                <c:f>'Figure 4'!$G$51:$G$56</c:f>
                <c:numCache>
                  <c:formatCode>General</c:formatCode>
                  <c:ptCount val="6"/>
                  <c:pt idx="0">
                    <c:v>1.6077476164591108E-2</c:v>
                  </c:pt>
                  <c:pt idx="1">
                    <c:v>8.8412533042009148E-3</c:v>
                  </c:pt>
                  <c:pt idx="2">
                    <c:v>3.5665793565241403E-3</c:v>
                  </c:pt>
                  <c:pt idx="3">
                    <c:v>1.64429085277078E-2</c:v>
                  </c:pt>
                  <c:pt idx="4">
                    <c:v>1.5413608639456903E-2</c:v>
                  </c:pt>
                  <c:pt idx="5">
                    <c:v>3.2463839390248599E-2</c:v>
                  </c:pt>
                </c:numCache>
              </c:numRef>
            </c:minus>
          </c:errBars>
          <c:val>
            <c:numRef>
              <c:f>'Figure 4'!$F$51:$F$56</c:f>
              <c:numCache>
                <c:formatCode>General</c:formatCode>
                <c:ptCount val="6"/>
                <c:pt idx="0">
                  <c:v>0.53042342838113321</c:v>
                </c:pt>
                <c:pt idx="1">
                  <c:v>0.28912690542497149</c:v>
                </c:pt>
                <c:pt idx="2">
                  <c:v>0.25181976019016139</c:v>
                </c:pt>
                <c:pt idx="3">
                  <c:v>0.46689534412566913</c:v>
                </c:pt>
                <c:pt idx="4">
                  <c:v>0.24315831145023195</c:v>
                </c:pt>
                <c:pt idx="5">
                  <c:v>0.24927595779130587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C-0942-82C3-8EE1E50F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0065960"/>
        <c:axId val="2100069016"/>
      </c:barChart>
      <c:catAx>
        <c:axId val="2100065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00069016"/>
        <c:crosses val="autoZero"/>
        <c:auto val="1"/>
        <c:lblAlgn val="ctr"/>
        <c:lblOffset val="100"/>
        <c:noMultiLvlLbl val="0"/>
      </c:catAx>
      <c:valAx>
        <c:axId val="2100069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00065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'[2]01272015 (Chaperone Assay)'!$B$7:$DA$7</c:f>
              <c:numCache>
                <c:formatCode>General</c:formatCode>
                <c:ptCount val="10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</c:numCache>
            </c:numRef>
          </c:xVal>
          <c:yVal>
            <c:numRef>
              <c:f>'[2]01272015 (Chaperone Assay)'!$B$8:$DA$8</c:f>
              <c:numCache>
                <c:formatCode>General</c:formatCode>
                <c:ptCount val="104"/>
                <c:pt idx="0">
                  <c:v>0.2545</c:v>
                </c:pt>
                <c:pt idx="1">
                  <c:v>0.2545</c:v>
                </c:pt>
                <c:pt idx="2">
                  <c:v>0.25440000000000002</c:v>
                </c:pt>
                <c:pt idx="3">
                  <c:v>0.25459999999999999</c:v>
                </c:pt>
                <c:pt idx="4">
                  <c:v>0.24879999999999999</c:v>
                </c:pt>
                <c:pt idx="5">
                  <c:v>0.24110000000000001</c:v>
                </c:pt>
                <c:pt idx="6">
                  <c:v>0.23880000000000001</c:v>
                </c:pt>
                <c:pt idx="7">
                  <c:v>0.23649999999999999</c:v>
                </c:pt>
                <c:pt idx="8">
                  <c:v>0.23480000000000001</c:v>
                </c:pt>
                <c:pt idx="9">
                  <c:v>0.23119999999999999</c:v>
                </c:pt>
                <c:pt idx="10">
                  <c:v>0.2311</c:v>
                </c:pt>
                <c:pt idx="11">
                  <c:v>0.23080000000000001</c:v>
                </c:pt>
                <c:pt idx="12">
                  <c:v>0.22140000000000001</c:v>
                </c:pt>
                <c:pt idx="13">
                  <c:v>0.22070000000000001</c:v>
                </c:pt>
                <c:pt idx="14">
                  <c:v>0.21890000000000001</c:v>
                </c:pt>
                <c:pt idx="15">
                  <c:v>0.2175</c:v>
                </c:pt>
                <c:pt idx="16">
                  <c:v>0.2157</c:v>
                </c:pt>
                <c:pt idx="17">
                  <c:v>0.2185</c:v>
                </c:pt>
                <c:pt idx="18">
                  <c:v>0.21540000000000001</c:v>
                </c:pt>
                <c:pt idx="19">
                  <c:v>0.2109</c:v>
                </c:pt>
                <c:pt idx="20">
                  <c:v>0.2087</c:v>
                </c:pt>
                <c:pt idx="21">
                  <c:v>0.2064</c:v>
                </c:pt>
                <c:pt idx="22">
                  <c:v>0.20330000000000001</c:v>
                </c:pt>
                <c:pt idx="23">
                  <c:v>0.20069999999999999</c:v>
                </c:pt>
                <c:pt idx="24">
                  <c:v>0.19850000000000001</c:v>
                </c:pt>
                <c:pt idx="25">
                  <c:v>0.19550000000000001</c:v>
                </c:pt>
                <c:pt idx="26">
                  <c:v>0.19070000000000001</c:v>
                </c:pt>
                <c:pt idx="27">
                  <c:v>0.19209999999999999</c:v>
                </c:pt>
                <c:pt idx="28">
                  <c:v>0.18870000000000001</c:v>
                </c:pt>
                <c:pt idx="29">
                  <c:v>0.18440000000000001</c:v>
                </c:pt>
                <c:pt idx="30">
                  <c:v>0.1802</c:v>
                </c:pt>
                <c:pt idx="31">
                  <c:v>0.18</c:v>
                </c:pt>
                <c:pt idx="32">
                  <c:v>0.1749</c:v>
                </c:pt>
                <c:pt idx="33">
                  <c:v>0.1711</c:v>
                </c:pt>
                <c:pt idx="34">
                  <c:v>0.16520000000000001</c:v>
                </c:pt>
                <c:pt idx="35">
                  <c:v>0.17</c:v>
                </c:pt>
                <c:pt idx="36">
                  <c:v>0.16611999999999999</c:v>
                </c:pt>
                <c:pt idx="37">
                  <c:v>0.16070000000000001</c:v>
                </c:pt>
                <c:pt idx="38">
                  <c:v>0.15939999999999999</c:v>
                </c:pt>
                <c:pt idx="39">
                  <c:v>0.14249999999999999</c:v>
                </c:pt>
                <c:pt idx="40">
                  <c:v>0.14581</c:v>
                </c:pt>
                <c:pt idx="41">
                  <c:v>0.1452</c:v>
                </c:pt>
                <c:pt idx="42">
                  <c:v>0.14269999999999999</c:v>
                </c:pt>
                <c:pt idx="43">
                  <c:v>0.1411</c:v>
                </c:pt>
                <c:pt idx="44">
                  <c:v>0.13850000000000001</c:v>
                </c:pt>
                <c:pt idx="45">
                  <c:v>0.13239999999999999</c:v>
                </c:pt>
                <c:pt idx="46">
                  <c:v>0.13519999999999999</c:v>
                </c:pt>
                <c:pt idx="47">
                  <c:v>0.13109999999999999</c:v>
                </c:pt>
                <c:pt idx="48">
                  <c:v>0.12540000000000001</c:v>
                </c:pt>
                <c:pt idx="49">
                  <c:v>0.12855</c:v>
                </c:pt>
                <c:pt idx="50">
                  <c:v>0.12470000000000001</c:v>
                </c:pt>
                <c:pt idx="51">
                  <c:v>0.1244</c:v>
                </c:pt>
                <c:pt idx="52">
                  <c:v>0.12139999999999999</c:v>
                </c:pt>
                <c:pt idx="53">
                  <c:v>0.1205</c:v>
                </c:pt>
                <c:pt idx="54">
                  <c:v>0.1241</c:v>
                </c:pt>
                <c:pt idx="55">
                  <c:v>0.1241</c:v>
                </c:pt>
                <c:pt idx="56">
                  <c:v>0.12</c:v>
                </c:pt>
                <c:pt idx="57">
                  <c:v>0.12</c:v>
                </c:pt>
                <c:pt idx="58">
                  <c:v>0.1125</c:v>
                </c:pt>
                <c:pt idx="59">
                  <c:v>0.1182</c:v>
                </c:pt>
                <c:pt idx="60">
                  <c:v>0.1124</c:v>
                </c:pt>
                <c:pt idx="61">
                  <c:v>0.1105</c:v>
                </c:pt>
                <c:pt idx="62">
                  <c:v>0.1124</c:v>
                </c:pt>
                <c:pt idx="63">
                  <c:v>0.11210000000000001</c:v>
                </c:pt>
                <c:pt idx="64">
                  <c:v>0.11210000000000001</c:v>
                </c:pt>
                <c:pt idx="65">
                  <c:v>0.1105</c:v>
                </c:pt>
                <c:pt idx="66">
                  <c:v>0.1104</c:v>
                </c:pt>
                <c:pt idx="67">
                  <c:v>0.11119999999999999</c:v>
                </c:pt>
                <c:pt idx="68">
                  <c:v>0.10879999999999999</c:v>
                </c:pt>
                <c:pt idx="69">
                  <c:v>0.10249999999999999</c:v>
                </c:pt>
                <c:pt idx="70">
                  <c:v>0.1027</c:v>
                </c:pt>
                <c:pt idx="71">
                  <c:v>0.10290000000000001</c:v>
                </c:pt>
                <c:pt idx="72">
                  <c:v>0.1022</c:v>
                </c:pt>
                <c:pt idx="73">
                  <c:v>0.1024</c:v>
                </c:pt>
                <c:pt idx="74">
                  <c:v>0.1002</c:v>
                </c:pt>
                <c:pt idx="75">
                  <c:v>0.1021</c:v>
                </c:pt>
                <c:pt idx="76">
                  <c:v>0.1008</c:v>
                </c:pt>
                <c:pt idx="77">
                  <c:v>0.1022</c:v>
                </c:pt>
                <c:pt idx="78">
                  <c:v>0.1007</c:v>
                </c:pt>
                <c:pt idx="79">
                  <c:v>0.10199999999999999</c:v>
                </c:pt>
                <c:pt idx="80">
                  <c:v>0.10009999999999999</c:v>
                </c:pt>
                <c:pt idx="81">
                  <c:v>0.10249999999999999</c:v>
                </c:pt>
                <c:pt idx="82">
                  <c:v>0.1007</c:v>
                </c:pt>
                <c:pt idx="83">
                  <c:v>0.1</c:v>
                </c:pt>
                <c:pt idx="84">
                  <c:v>9.98E-2</c:v>
                </c:pt>
                <c:pt idx="85">
                  <c:v>0.10050000000000001</c:v>
                </c:pt>
                <c:pt idx="86">
                  <c:v>0.10050000000000001</c:v>
                </c:pt>
                <c:pt idx="87">
                  <c:v>9.9599999999999994E-2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7-F34E-84B3-EDD539B540B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'[2]01272015 (Chaperone Assay)'!$B$7:$CK$7</c:f>
              <c:numCache>
                <c:formatCode>General</c:formatCode>
                <c:ptCount val="88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</c:numCache>
            </c:numRef>
          </c:xVal>
          <c:yVal>
            <c:numRef>
              <c:f>'[2]01272015 (Chaperone Assay)'!$B$9:$CK$9</c:f>
              <c:numCache>
                <c:formatCode>General</c:formatCode>
                <c:ptCount val="88"/>
                <c:pt idx="0">
                  <c:v>0.25590000000000002</c:v>
                </c:pt>
                <c:pt idx="1">
                  <c:v>0.25440000000000002</c:v>
                </c:pt>
                <c:pt idx="2">
                  <c:v>0.25430000000000003</c:v>
                </c:pt>
                <c:pt idx="3">
                  <c:v>0.25359999999999999</c:v>
                </c:pt>
                <c:pt idx="4">
                  <c:v>0.25440000000000002</c:v>
                </c:pt>
                <c:pt idx="5">
                  <c:v>0.25729999999999997</c:v>
                </c:pt>
                <c:pt idx="6">
                  <c:v>0.25419999999999998</c:v>
                </c:pt>
                <c:pt idx="7">
                  <c:v>0.25335999999999997</c:v>
                </c:pt>
                <c:pt idx="8">
                  <c:v>0.25369000000000003</c:v>
                </c:pt>
                <c:pt idx="9">
                  <c:v>0.25425999999999999</c:v>
                </c:pt>
                <c:pt idx="10">
                  <c:v>0.25364999999999999</c:v>
                </c:pt>
                <c:pt idx="11">
                  <c:v>0.25663000000000002</c:v>
                </c:pt>
                <c:pt idx="12">
                  <c:v>0.25140000000000001</c:v>
                </c:pt>
                <c:pt idx="13">
                  <c:v>0.25190000000000001</c:v>
                </c:pt>
                <c:pt idx="14">
                  <c:v>0.25359999999999999</c:v>
                </c:pt>
                <c:pt idx="15">
                  <c:v>0.25419999999999998</c:v>
                </c:pt>
                <c:pt idx="16">
                  <c:v>0.25419999999999998</c:v>
                </c:pt>
                <c:pt idx="17">
                  <c:v>0.25409999999999999</c:v>
                </c:pt>
                <c:pt idx="18">
                  <c:v>0.25409999999999999</c:v>
                </c:pt>
                <c:pt idx="19">
                  <c:v>0.25109999999999999</c:v>
                </c:pt>
                <c:pt idx="20">
                  <c:v>0.25230000000000002</c:v>
                </c:pt>
                <c:pt idx="21">
                  <c:v>0.25319999999999998</c:v>
                </c:pt>
                <c:pt idx="22">
                  <c:v>0.25140000000000001</c:v>
                </c:pt>
                <c:pt idx="23">
                  <c:v>0.25120999999999999</c:v>
                </c:pt>
                <c:pt idx="24">
                  <c:v>0.25359999999999999</c:v>
                </c:pt>
                <c:pt idx="25">
                  <c:v>0.25140000000000001</c:v>
                </c:pt>
                <c:pt idx="26">
                  <c:v>0.25319999999999998</c:v>
                </c:pt>
                <c:pt idx="27">
                  <c:v>0.25409999999999999</c:v>
                </c:pt>
                <c:pt idx="28">
                  <c:v>0.25411</c:v>
                </c:pt>
                <c:pt idx="29">
                  <c:v>0.25409999999999999</c:v>
                </c:pt>
                <c:pt idx="30">
                  <c:v>0.25140000000000001</c:v>
                </c:pt>
                <c:pt idx="31">
                  <c:v>0.25879999999999997</c:v>
                </c:pt>
                <c:pt idx="32">
                  <c:v>0.2535</c:v>
                </c:pt>
                <c:pt idx="33">
                  <c:v>0.25109999999999999</c:v>
                </c:pt>
                <c:pt idx="34">
                  <c:v>0.25019999999999998</c:v>
                </c:pt>
                <c:pt idx="35">
                  <c:v>0.25</c:v>
                </c:pt>
                <c:pt idx="36">
                  <c:v>0.25411</c:v>
                </c:pt>
                <c:pt idx="37">
                  <c:v>0.24510000000000001</c:v>
                </c:pt>
                <c:pt idx="38">
                  <c:v>0.2442</c:v>
                </c:pt>
                <c:pt idx="39">
                  <c:v>0.24149999999999999</c:v>
                </c:pt>
                <c:pt idx="40">
                  <c:v>0.24590000000000001</c:v>
                </c:pt>
                <c:pt idx="41">
                  <c:v>0.24587999999999999</c:v>
                </c:pt>
                <c:pt idx="42">
                  <c:v>0.24260000000000001</c:v>
                </c:pt>
                <c:pt idx="43">
                  <c:v>0.25559999999999999</c:v>
                </c:pt>
                <c:pt idx="44">
                  <c:v>0.24410000000000001</c:v>
                </c:pt>
                <c:pt idx="45">
                  <c:v>0.24149999999999999</c:v>
                </c:pt>
                <c:pt idx="46">
                  <c:v>0.24149999999999999</c:v>
                </c:pt>
                <c:pt idx="47">
                  <c:v>0.24110000000000001</c:v>
                </c:pt>
                <c:pt idx="48">
                  <c:v>0.24079999999999999</c:v>
                </c:pt>
                <c:pt idx="49">
                  <c:v>0.24052000000000001</c:v>
                </c:pt>
                <c:pt idx="50">
                  <c:v>0.24110000000000001</c:v>
                </c:pt>
                <c:pt idx="51">
                  <c:v>0.24560000000000001</c:v>
                </c:pt>
                <c:pt idx="52">
                  <c:v>0.24149999999999999</c:v>
                </c:pt>
                <c:pt idx="53">
                  <c:v>0.24510000000000001</c:v>
                </c:pt>
                <c:pt idx="54">
                  <c:v>0.24110000000000001</c:v>
                </c:pt>
                <c:pt idx="55">
                  <c:v>0.2407</c:v>
                </c:pt>
                <c:pt idx="56">
                  <c:v>0.24</c:v>
                </c:pt>
                <c:pt idx="57">
                  <c:v>0.2452</c:v>
                </c:pt>
                <c:pt idx="58">
                  <c:v>0.2399</c:v>
                </c:pt>
                <c:pt idx="59">
                  <c:v>0.23549999999999999</c:v>
                </c:pt>
                <c:pt idx="60">
                  <c:v>0.2389</c:v>
                </c:pt>
                <c:pt idx="61">
                  <c:v>0.24010000000000001</c:v>
                </c:pt>
                <c:pt idx="62">
                  <c:v>0.23039999999999999</c:v>
                </c:pt>
                <c:pt idx="63">
                  <c:v>0.2356</c:v>
                </c:pt>
                <c:pt idx="64">
                  <c:v>0.2344</c:v>
                </c:pt>
                <c:pt idx="65">
                  <c:v>0.23769999999999999</c:v>
                </c:pt>
                <c:pt idx="66">
                  <c:v>0.24010000000000001</c:v>
                </c:pt>
                <c:pt idx="67">
                  <c:v>0.23960000000000001</c:v>
                </c:pt>
                <c:pt idx="68">
                  <c:v>0.23569999999999999</c:v>
                </c:pt>
                <c:pt idx="69">
                  <c:v>0.23555999999999999</c:v>
                </c:pt>
                <c:pt idx="70">
                  <c:v>0.2354</c:v>
                </c:pt>
                <c:pt idx="71">
                  <c:v>0.23649999999999999</c:v>
                </c:pt>
                <c:pt idx="72">
                  <c:v>0.2354</c:v>
                </c:pt>
                <c:pt idx="73">
                  <c:v>0.23769999999999999</c:v>
                </c:pt>
                <c:pt idx="74">
                  <c:v>0.2369</c:v>
                </c:pt>
                <c:pt idx="75">
                  <c:v>0.2344</c:v>
                </c:pt>
                <c:pt idx="76">
                  <c:v>0.23544699999999999</c:v>
                </c:pt>
                <c:pt idx="77">
                  <c:v>0.23585</c:v>
                </c:pt>
                <c:pt idx="78">
                  <c:v>0.23544000000000001</c:v>
                </c:pt>
                <c:pt idx="79">
                  <c:v>0.24010000000000001</c:v>
                </c:pt>
                <c:pt idx="80">
                  <c:v>0.23694999999999999</c:v>
                </c:pt>
                <c:pt idx="81">
                  <c:v>0.24440000000000001</c:v>
                </c:pt>
                <c:pt idx="82">
                  <c:v>0.23089999999999999</c:v>
                </c:pt>
                <c:pt idx="83">
                  <c:v>0.23699600000000001</c:v>
                </c:pt>
                <c:pt idx="84">
                  <c:v>0.232152</c:v>
                </c:pt>
                <c:pt idx="85">
                  <c:v>0.23525399999999999</c:v>
                </c:pt>
                <c:pt idx="86">
                  <c:v>0.24099999999999999</c:v>
                </c:pt>
                <c:pt idx="87">
                  <c:v>0.2399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F7-F34E-84B3-EDD539B540B1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'[2]01272015 (Chaperone Assay)'!$B$7:$CK$7</c:f>
              <c:numCache>
                <c:formatCode>General</c:formatCode>
                <c:ptCount val="88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</c:numCache>
            </c:numRef>
          </c:xVal>
          <c:yVal>
            <c:numRef>
              <c:f>'[2]01272015 (Chaperone Assay)'!$B$10:$CK$10</c:f>
              <c:numCache>
                <c:formatCode>General</c:formatCode>
                <c:ptCount val="88"/>
                <c:pt idx="0">
                  <c:v>0.26150000000000001</c:v>
                </c:pt>
                <c:pt idx="1">
                  <c:v>0.25990000000000002</c:v>
                </c:pt>
                <c:pt idx="2">
                  <c:v>0.25869999999999999</c:v>
                </c:pt>
                <c:pt idx="3">
                  <c:v>0.2581</c:v>
                </c:pt>
                <c:pt idx="4">
                  <c:v>0.25629999999999997</c:v>
                </c:pt>
                <c:pt idx="5">
                  <c:v>0.25140000000000001</c:v>
                </c:pt>
                <c:pt idx="6">
                  <c:v>0.25119999999999998</c:v>
                </c:pt>
                <c:pt idx="7">
                  <c:v>0.25080000000000002</c:v>
                </c:pt>
                <c:pt idx="8">
                  <c:v>0.24979999999999999</c:v>
                </c:pt>
                <c:pt idx="9">
                  <c:v>0.2492</c:v>
                </c:pt>
                <c:pt idx="10">
                  <c:v>0.2467</c:v>
                </c:pt>
                <c:pt idx="11">
                  <c:v>0.24629999999999999</c:v>
                </c:pt>
                <c:pt idx="12">
                  <c:v>0.24149999999999999</c:v>
                </c:pt>
                <c:pt idx="13">
                  <c:v>0.24229999999999999</c:v>
                </c:pt>
                <c:pt idx="14">
                  <c:v>0.24110000000000001</c:v>
                </c:pt>
                <c:pt idx="15">
                  <c:v>0.2389</c:v>
                </c:pt>
                <c:pt idx="16">
                  <c:v>0.23680000000000001</c:v>
                </c:pt>
                <c:pt idx="17">
                  <c:v>0.23710000000000001</c:v>
                </c:pt>
                <c:pt idx="18">
                  <c:v>0.23119999999999999</c:v>
                </c:pt>
                <c:pt idx="19">
                  <c:v>0.2344</c:v>
                </c:pt>
                <c:pt idx="20">
                  <c:v>0.2311</c:v>
                </c:pt>
                <c:pt idx="21">
                  <c:v>0.23449999999999999</c:v>
                </c:pt>
                <c:pt idx="22">
                  <c:v>0.23369999999999999</c:v>
                </c:pt>
                <c:pt idx="23">
                  <c:v>0.23139999999999999</c:v>
                </c:pt>
                <c:pt idx="24">
                  <c:v>0.22800000000000001</c:v>
                </c:pt>
                <c:pt idx="25">
                  <c:v>0.2271</c:v>
                </c:pt>
                <c:pt idx="26">
                  <c:v>0.22140000000000001</c:v>
                </c:pt>
                <c:pt idx="27">
                  <c:v>0.22359999999999999</c:v>
                </c:pt>
                <c:pt idx="28">
                  <c:v>0.22040000000000001</c:v>
                </c:pt>
                <c:pt idx="29">
                  <c:v>0.22140000000000001</c:v>
                </c:pt>
                <c:pt idx="30">
                  <c:v>0.22140000000000001</c:v>
                </c:pt>
                <c:pt idx="31">
                  <c:v>0.22040000000000001</c:v>
                </c:pt>
                <c:pt idx="32">
                  <c:v>0.21929999999999999</c:v>
                </c:pt>
                <c:pt idx="33">
                  <c:v>0.2185</c:v>
                </c:pt>
                <c:pt idx="34">
                  <c:v>0.21587000000000001</c:v>
                </c:pt>
                <c:pt idx="35">
                  <c:v>0.21110000000000001</c:v>
                </c:pt>
                <c:pt idx="36">
                  <c:v>0.21079999999999999</c:v>
                </c:pt>
                <c:pt idx="37">
                  <c:v>0.2107</c:v>
                </c:pt>
                <c:pt idx="38">
                  <c:v>0.20519999999999999</c:v>
                </c:pt>
                <c:pt idx="39">
                  <c:v>0.20169999999999999</c:v>
                </c:pt>
                <c:pt idx="40">
                  <c:v>0.20069999999999999</c:v>
                </c:pt>
                <c:pt idx="41">
                  <c:v>0.20419999999999999</c:v>
                </c:pt>
                <c:pt idx="42">
                  <c:v>0.20449999999999999</c:v>
                </c:pt>
                <c:pt idx="43">
                  <c:v>0.19889999999999999</c:v>
                </c:pt>
                <c:pt idx="44">
                  <c:v>0.19550000000000001</c:v>
                </c:pt>
                <c:pt idx="45">
                  <c:v>0.19420000000000001</c:v>
                </c:pt>
                <c:pt idx="46">
                  <c:v>0.19220000000000001</c:v>
                </c:pt>
                <c:pt idx="47">
                  <c:v>0.1908</c:v>
                </c:pt>
                <c:pt idx="48">
                  <c:v>0.19</c:v>
                </c:pt>
                <c:pt idx="49">
                  <c:v>0.18890000000000001</c:v>
                </c:pt>
                <c:pt idx="50">
                  <c:v>0.1855</c:v>
                </c:pt>
                <c:pt idx="51">
                  <c:v>0.1842</c:v>
                </c:pt>
                <c:pt idx="52">
                  <c:v>0.1842</c:v>
                </c:pt>
                <c:pt idx="53">
                  <c:v>0.1832</c:v>
                </c:pt>
                <c:pt idx="54">
                  <c:v>0.182</c:v>
                </c:pt>
                <c:pt idx="55">
                  <c:v>0.18240000000000001</c:v>
                </c:pt>
                <c:pt idx="56">
                  <c:v>0.18110000000000001</c:v>
                </c:pt>
                <c:pt idx="57">
                  <c:v>0.1807</c:v>
                </c:pt>
                <c:pt idx="58">
                  <c:v>0.1799</c:v>
                </c:pt>
                <c:pt idx="59">
                  <c:v>0.1782</c:v>
                </c:pt>
                <c:pt idx="60">
                  <c:v>0.1772</c:v>
                </c:pt>
                <c:pt idx="61">
                  <c:v>0.17249999999999999</c:v>
                </c:pt>
                <c:pt idx="62">
                  <c:v>0.17299999999999999</c:v>
                </c:pt>
                <c:pt idx="63">
                  <c:v>0.17100000000000001</c:v>
                </c:pt>
                <c:pt idx="64">
                  <c:v>0.17452000000000001</c:v>
                </c:pt>
                <c:pt idx="65">
                  <c:v>0.17050000000000001</c:v>
                </c:pt>
                <c:pt idx="66">
                  <c:v>0.1686</c:v>
                </c:pt>
                <c:pt idx="67">
                  <c:v>0.16889999999999999</c:v>
                </c:pt>
                <c:pt idx="68">
                  <c:v>0.16719999999999999</c:v>
                </c:pt>
                <c:pt idx="69">
                  <c:v>0.16789999999999999</c:v>
                </c:pt>
                <c:pt idx="70">
                  <c:v>0.16200000000000001</c:v>
                </c:pt>
                <c:pt idx="71">
                  <c:v>0.16550000000000001</c:v>
                </c:pt>
                <c:pt idx="72">
                  <c:v>0.16350000000000001</c:v>
                </c:pt>
                <c:pt idx="73">
                  <c:v>0.16300000000000001</c:v>
                </c:pt>
                <c:pt idx="74">
                  <c:v>0.16320000000000001</c:v>
                </c:pt>
                <c:pt idx="75">
                  <c:v>0.16270000000000001</c:v>
                </c:pt>
                <c:pt idx="76">
                  <c:v>0.16289999999999999</c:v>
                </c:pt>
                <c:pt idx="77">
                  <c:v>0.16220000000000001</c:v>
                </c:pt>
                <c:pt idx="78">
                  <c:v>0.16200000000000001</c:v>
                </c:pt>
                <c:pt idx="79">
                  <c:v>0.16170000000000001</c:v>
                </c:pt>
                <c:pt idx="80">
                  <c:v>0.1608</c:v>
                </c:pt>
                <c:pt idx="81">
                  <c:v>0.1608</c:v>
                </c:pt>
                <c:pt idx="82">
                  <c:v>0.16020000000000001</c:v>
                </c:pt>
                <c:pt idx="83">
                  <c:v>0.15890000000000001</c:v>
                </c:pt>
                <c:pt idx="84">
                  <c:v>0.15859999999999999</c:v>
                </c:pt>
                <c:pt idx="85">
                  <c:v>0.15740000000000001</c:v>
                </c:pt>
                <c:pt idx="86">
                  <c:v>0.16020000000000001</c:v>
                </c:pt>
                <c:pt idx="87">
                  <c:v>0.157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F7-F34E-84B3-EDD539B540B1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'[2]01272015 (Chaperone Assay)'!$B$7:$CK$7</c:f>
              <c:numCache>
                <c:formatCode>General</c:formatCode>
                <c:ptCount val="88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</c:numCache>
            </c:numRef>
          </c:xVal>
          <c:yVal>
            <c:numRef>
              <c:f>'[2]01272015 (Chaperone Assay)'!$B$11:$CK$11</c:f>
              <c:numCache>
                <c:formatCode>General</c:formatCode>
                <c:ptCount val="88"/>
                <c:pt idx="0">
                  <c:v>0.25414999999999999</c:v>
                </c:pt>
                <c:pt idx="1">
                  <c:v>0.25890000000000002</c:v>
                </c:pt>
                <c:pt idx="2">
                  <c:v>0.25080000000000002</c:v>
                </c:pt>
                <c:pt idx="3">
                  <c:v>0.25440000000000002</c:v>
                </c:pt>
                <c:pt idx="4">
                  <c:v>0.25240000000000001</c:v>
                </c:pt>
                <c:pt idx="5">
                  <c:v>0.2525</c:v>
                </c:pt>
                <c:pt idx="6">
                  <c:v>0.25019999999999998</c:v>
                </c:pt>
                <c:pt idx="7">
                  <c:v>0.24998000000000001</c:v>
                </c:pt>
                <c:pt idx="8">
                  <c:v>0.249</c:v>
                </c:pt>
                <c:pt idx="9">
                  <c:v>0.2495</c:v>
                </c:pt>
                <c:pt idx="10">
                  <c:v>0.2457</c:v>
                </c:pt>
                <c:pt idx="11">
                  <c:v>0.2427</c:v>
                </c:pt>
                <c:pt idx="12">
                  <c:v>0.24249999999999999</c:v>
                </c:pt>
                <c:pt idx="13">
                  <c:v>0.2417</c:v>
                </c:pt>
                <c:pt idx="14">
                  <c:v>0.24149999999999999</c:v>
                </c:pt>
                <c:pt idx="15">
                  <c:v>0.2409</c:v>
                </c:pt>
                <c:pt idx="16">
                  <c:v>0.23980000000000001</c:v>
                </c:pt>
                <c:pt idx="17">
                  <c:v>0.23849999999999999</c:v>
                </c:pt>
                <c:pt idx="18">
                  <c:v>0.23549999999999999</c:v>
                </c:pt>
                <c:pt idx="19">
                  <c:v>0.23419999999999999</c:v>
                </c:pt>
                <c:pt idx="20">
                  <c:v>0.23230000000000001</c:v>
                </c:pt>
                <c:pt idx="21">
                  <c:v>0.23219999999999999</c:v>
                </c:pt>
                <c:pt idx="22">
                  <c:v>0.2319</c:v>
                </c:pt>
                <c:pt idx="23">
                  <c:v>0.2324</c:v>
                </c:pt>
                <c:pt idx="24">
                  <c:v>0.23119999999999999</c:v>
                </c:pt>
                <c:pt idx="25">
                  <c:v>0.23080000000000001</c:v>
                </c:pt>
                <c:pt idx="26">
                  <c:v>0.2301</c:v>
                </c:pt>
                <c:pt idx="27">
                  <c:v>0.22889999999999999</c:v>
                </c:pt>
                <c:pt idx="28">
                  <c:v>0.2291</c:v>
                </c:pt>
                <c:pt idx="29">
                  <c:v>0.22539999999999999</c:v>
                </c:pt>
                <c:pt idx="30">
                  <c:v>0.22289999999999999</c:v>
                </c:pt>
                <c:pt idx="31">
                  <c:v>0.22309999999999999</c:v>
                </c:pt>
                <c:pt idx="32">
                  <c:v>0.22170000000000001</c:v>
                </c:pt>
                <c:pt idx="33">
                  <c:v>0.22070000000000001</c:v>
                </c:pt>
                <c:pt idx="34">
                  <c:v>0.22009999999999999</c:v>
                </c:pt>
                <c:pt idx="35">
                  <c:v>0.2195</c:v>
                </c:pt>
                <c:pt idx="36">
                  <c:v>0.21820000000000001</c:v>
                </c:pt>
                <c:pt idx="37">
                  <c:v>0.2172</c:v>
                </c:pt>
                <c:pt idx="38">
                  <c:v>0.2152</c:v>
                </c:pt>
                <c:pt idx="39">
                  <c:v>0.21149999999999999</c:v>
                </c:pt>
                <c:pt idx="40">
                  <c:v>0.21110000000000001</c:v>
                </c:pt>
                <c:pt idx="41">
                  <c:v>0.2104</c:v>
                </c:pt>
                <c:pt idx="42">
                  <c:v>0.20949999999999999</c:v>
                </c:pt>
                <c:pt idx="43">
                  <c:v>0.20860000000000001</c:v>
                </c:pt>
                <c:pt idx="44">
                  <c:v>0.2072</c:v>
                </c:pt>
                <c:pt idx="45">
                  <c:v>0.20419999999999999</c:v>
                </c:pt>
                <c:pt idx="46">
                  <c:v>0.20169999999999999</c:v>
                </c:pt>
                <c:pt idx="47">
                  <c:v>0.2011</c:v>
                </c:pt>
                <c:pt idx="48">
                  <c:v>0.2014</c:v>
                </c:pt>
                <c:pt idx="49">
                  <c:v>0.19889999999999999</c:v>
                </c:pt>
                <c:pt idx="50">
                  <c:v>0.19719999999999999</c:v>
                </c:pt>
                <c:pt idx="51">
                  <c:v>0.19639999999999999</c:v>
                </c:pt>
                <c:pt idx="52">
                  <c:v>0.19520000000000001</c:v>
                </c:pt>
                <c:pt idx="53">
                  <c:v>0.1925</c:v>
                </c:pt>
                <c:pt idx="54">
                  <c:v>0.193</c:v>
                </c:pt>
                <c:pt idx="55">
                  <c:v>0.192</c:v>
                </c:pt>
                <c:pt idx="56">
                  <c:v>0.1908</c:v>
                </c:pt>
                <c:pt idx="57">
                  <c:v>0.19</c:v>
                </c:pt>
                <c:pt idx="58">
                  <c:v>0.18820000000000001</c:v>
                </c:pt>
                <c:pt idx="59">
                  <c:v>0.1852</c:v>
                </c:pt>
                <c:pt idx="60">
                  <c:v>0.18440000000000001</c:v>
                </c:pt>
                <c:pt idx="61">
                  <c:v>0.18229999999999999</c:v>
                </c:pt>
                <c:pt idx="62">
                  <c:v>0.18190000000000001</c:v>
                </c:pt>
                <c:pt idx="63">
                  <c:v>0.182</c:v>
                </c:pt>
                <c:pt idx="64">
                  <c:v>0.18240000000000001</c:v>
                </c:pt>
                <c:pt idx="65">
                  <c:v>0.17979999999999999</c:v>
                </c:pt>
                <c:pt idx="66">
                  <c:v>0.1782</c:v>
                </c:pt>
                <c:pt idx="67">
                  <c:v>0.17560000000000001</c:v>
                </c:pt>
                <c:pt idx="68">
                  <c:v>0.17230000000000001</c:v>
                </c:pt>
                <c:pt idx="69">
                  <c:v>0.17230000000000001</c:v>
                </c:pt>
                <c:pt idx="70">
                  <c:v>0.1721</c:v>
                </c:pt>
                <c:pt idx="71">
                  <c:v>0.1724</c:v>
                </c:pt>
                <c:pt idx="72">
                  <c:v>0.1711</c:v>
                </c:pt>
                <c:pt idx="73">
                  <c:v>0.17150000000000001</c:v>
                </c:pt>
                <c:pt idx="74">
                  <c:v>0.17080000000000001</c:v>
                </c:pt>
                <c:pt idx="75">
                  <c:v>0.1704</c:v>
                </c:pt>
                <c:pt idx="76">
                  <c:v>0.17019999999999999</c:v>
                </c:pt>
                <c:pt idx="77">
                  <c:v>0.17150000000000001</c:v>
                </c:pt>
                <c:pt idx="78">
                  <c:v>0.17100000000000001</c:v>
                </c:pt>
                <c:pt idx="79">
                  <c:v>0.1704</c:v>
                </c:pt>
                <c:pt idx="80">
                  <c:v>0.1701</c:v>
                </c:pt>
                <c:pt idx="81">
                  <c:v>0.16980000000000001</c:v>
                </c:pt>
                <c:pt idx="82">
                  <c:v>0.16919999999999999</c:v>
                </c:pt>
                <c:pt idx="83">
                  <c:v>0.16889999999999999</c:v>
                </c:pt>
                <c:pt idx="84">
                  <c:v>0.1681</c:v>
                </c:pt>
                <c:pt idx="85">
                  <c:v>0.16819999999999999</c:v>
                </c:pt>
                <c:pt idx="86">
                  <c:v>0.1658</c:v>
                </c:pt>
                <c:pt idx="87">
                  <c:v>0.16550000000000001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F7-F34E-84B3-EDD539B5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098696"/>
        <c:axId val="2089018040"/>
      </c:scatterChart>
      <c:valAx>
        <c:axId val="2090098696"/>
        <c:scaling>
          <c:orientation val="minMax"/>
          <c:max val="8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89018040"/>
        <c:crosses val="autoZero"/>
        <c:crossBetween val="midCat"/>
      </c:valAx>
      <c:valAx>
        <c:axId val="2089018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0098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4'!$I$84:$I$89</c:f>
                <c:numCache>
                  <c:formatCode>General</c:formatCode>
                  <c:ptCount val="6"/>
                  <c:pt idx="0">
                    <c:v>2.7072064390629119E-2</c:v>
                  </c:pt>
                  <c:pt idx="1">
                    <c:v>6.1126824171825925E-2</c:v>
                  </c:pt>
                  <c:pt idx="2">
                    <c:v>2.807829826277463E-2</c:v>
                  </c:pt>
                  <c:pt idx="3">
                    <c:v>4.2837285258677832E-2</c:v>
                  </c:pt>
                  <c:pt idx="4">
                    <c:v>0.33716543880848754</c:v>
                  </c:pt>
                  <c:pt idx="5">
                    <c:v>6.0425610740259275E-2</c:v>
                  </c:pt>
                </c:numCache>
              </c:numRef>
            </c:plus>
            <c:minus>
              <c:numRef>
                <c:f>'Figure 4'!$I$84:$I$89</c:f>
                <c:numCache>
                  <c:formatCode>General</c:formatCode>
                  <c:ptCount val="6"/>
                  <c:pt idx="0">
                    <c:v>2.7072064390629119E-2</c:v>
                  </c:pt>
                  <c:pt idx="1">
                    <c:v>6.1126824171825925E-2</c:v>
                  </c:pt>
                  <c:pt idx="2">
                    <c:v>2.807829826277463E-2</c:v>
                  </c:pt>
                  <c:pt idx="3">
                    <c:v>4.2837285258677832E-2</c:v>
                  </c:pt>
                  <c:pt idx="4">
                    <c:v>0.33716543880848754</c:v>
                  </c:pt>
                  <c:pt idx="5">
                    <c:v>6.0425610740259275E-2</c:v>
                  </c:pt>
                </c:numCache>
              </c:numRef>
            </c:minus>
          </c:errBars>
          <c:val>
            <c:numRef>
              <c:f>'Figure 4'!$H$84:$H$89</c:f>
              <c:numCache>
                <c:formatCode>General</c:formatCode>
                <c:ptCount val="6"/>
                <c:pt idx="0">
                  <c:v>3.333111111111111E-2</c:v>
                </c:pt>
                <c:pt idx="1">
                  <c:v>0.94080666666666657</c:v>
                </c:pt>
                <c:pt idx="2">
                  <c:v>6.2546666666666653E-2</c:v>
                </c:pt>
                <c:pt idx="3">
                  <c:v>6.6058333333333344E-2</c:v>
                </c:pt>
                <c:pt idx="4">
                  <c:v>2.1227648846666667</c:v>
                </c:pt>
                <c:pt idx="5">
                  <c:v>1.0590066666666667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9-1845-A1BC-3461BEE13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221576"/>
        <c:axId val="2092823432"/>
      </c:barChart>
      <c:catAx>
        <c:axId val="2098221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92823432"/>
        <c:crosses val="autoZero"/>
        <c:auto val="1"/>
        <c:lblAlgn val="ctr"/>
        <c:lblOffset val="100"/>
        <c:noMultiLvlLbl val="0"/>
      </c:catAx>
      <c:valAx>
        <c:axId val="2092823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8221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4'!$D$10:$D$13</c:f>
                <c:numCache>
                  <c:formatCode>General</c:formatCode>
                  <c:ptCount val="4"/>
                  <c:pt idx="0">
                    <c:v>0.21762360245631576</c:v>
                  </c:pt>
                  <c:pt idx="1">
                    <c:v>0.31246760327643341</c:v>
                  </c:pt>
                  <c:pt idx="2">
                    <c:v>0.19288140801612419</c:v>
                  </c:pt>
                  <c:pt idx="3">
                    <c:v>0.15073412141959741</c:v>
                  </c:pt>
                </c:numCache>
              </c:numRef>
            </c:plus>
            <c:minus>
              <c:numRef>
                <c:f>'Figure 4'!$D$10:$D$13</c:f>
                <c:numCache>
                  <c:formatCode>General</c:formatCode>
                  <c:ptCount val="4"/>
                  <c:pt idx="0">
                    <c:v>0.21762360245631576</c:v>
                  </c:pt>
                  <c:pt idx="1">
                    <c:v>0.31246760327643341</c:v>
                  </c:pt>
                  <c:pt idx="2">
                    <c:v>0.19288140801612419</c:v>
                  </c:pt>
                  <c:pt idx="3">
                    <c:v>0.15073412141959741</c:v>
                  </c:pt>
                </c:numCache>
              </c:numRef>
            </c:minus>
          </c:errBars>
          <c:cat>
            <c:strRef>
              <c:f>'Figure 4'!$B$10:$B$13</c:f>
              <c:strCache>
                <c:ptCount val="4"/>
                <c:pt idx="0">
                  <c:v>Scramble</c:v>
                </c:pt>
                <c:pt idx="1">
                  <c:v>siRNA</c:v>
                </c:pt>
                <c:pt idx="2">
                  <c:v>KRI</c:v>
                </c:pt>
                <c:pt idx="3">
                  <c:v>siRNA+KRI</c:v>
                </c:pt>
              </c:strCache>
            </c:strRef>
          </c:cat>
          <c:val>
            <c:numRef>
              <c:f>'Figure 4'!$C$10:$C$13</c:f>
              <c:numCache>
                <c:formatCode>General</c:formatCode>
                <c:ptCount val="4"/>
                <c:pt idx="0">
                  <c:v>0.99999931868107206</c:v>
                </c:pt>
                <c:pt idx="1">
                  <c:v>2.8736986262833955</c:v>
                </c:pt>
                <c:pt idx="2">
                  <c:v>1.8009986357564429</c:v>
                </c:pt>
                <c:pt idx="3">
                  <c:v>3.2256967750976044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E-FA45-AAF1-FB829933D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445368"/>
        <c:axId val="2098214280"/>
      </c:barChart>
      <c:catAx>
        <c:axId val="2092445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98214280"/>
        <c:crosses val="autoZero"/>
        <c:auto val="1"/>
        <c:lblAlgn val="ctr"/>
        <c:lblOffset val="100"/>
        <c:noMultiLvlLbl val="0"/>
      </c:catAx>
      <c:valAx>
        <c:axId val="2098214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2445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[3]Sheet1!$O$10:$O$13</c:f>
                <c:numCache>
                  <c:formatCode>General</c:formatCode>
                  <c:ptCount val="4"/>
                  <c:pt idx="0">
                    <c:v>5.4419608778001886E-2</c:v>
                  </c:pt>
                  <c:pt idx="1">
                    <c:v>9.3893350897216229E-3</c:v>
                  </c:pt>
                  <c:pt idx="2">
                    <c:v>9.1191057652666593E-2</c:v>
                  </c:pt>
                  <c:pt idx="3">
                    <c:v>0.19452696757309199</c:v>
                  </c:pt>
                </c:numCache>
              </c:numRef>
            </c:plus>
            <c:minus>
              <c:numRef>
                <c:f>[3]Sheet1!$O$10:$O$13</c:f>
                <c:numCache>
                  <c:formatCode>General</c:formatCode>
                  <c:ptCount val="4"/>
                  <c:pt idx="0">
                    <c:v>5.4419608778001886E-2</c:v>
                  </c:pt>
                  <c:pt idx="1">
                    <c:v>9.3893350897216229E-3</c:v>
                  </c:pt>
                  <c:pt idx="2">
                    <c:v>9.1191057652666593E-2</c:v>
                  </c:pt>
                  <c:pt idx="3">
                    <c:v>0.19452696757309199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[3]Sheet1!$I$10:$I$13</c:f>
              <c:strCache>
                <c:ptCount val="4"/>
                <c:pt idx="0">
                  <c:v>sc</c:v>
                </c:pt>
                <c:pt idx="1">
                  <c:v>kri</c:v>
                </c:pt>
                <c:pt idx="2">
                  <c:v>si</c:v>
                </c:pt>
                <c:pt idx="3">
                  <c:v>si+kri</c:v>
                </c:pt>
              </c:strCache>
            </c:strRef>
          </c:cat>
          <c:val>
            <c:numRef>
              <c:f>[3]Sheet1!$M$10:$M$13</c:f>
              <c:numCache>
                <c:formatCode>General</c:formatCode>
                <c:ptCount val="4"/>
                <c:pt idx="0">
                  <c:v>1.0000000000000002</c:v>
                </c:pt>
                <c:pt idx="1">
                  <c:v>1.1106871976774781</c:v>
                </c:pt>
                <c:pt idx="2">
                  <c:v>1.5136473673950397</c:v>
                </c:pt>
                <c:pt idx="3">
                  <c:v>1.9124500607149004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7-2848-9EB2-17C3CFC36B71}"/>
            </c:ext>
          </c:extLst>
        </c:ser>
        <c:ser>
          <c:idx val="1"/>
          <c:order val="1"/>
          <c:tx>
            <c:strRef>
              <c:f>[3]Sheet1!$M$15:$M$18</c:f>
              <c:strCache>
                <c:ptCount val="1"/>
                <c:pt idx="0">
                  <c:v>1.000000157 1.369599119 1.890548817 2.129597834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[3]Sheet1!$O$15:$O$18</c:f>
                <c:numCache>
                  <c:formatCode>General</c:formatCode>
                  <c:ptCount val="4"/>
                  <c:pt idx="0">
                    <c:v>6.0311554278745426E-2</c:v>
                  </c:pt>
                  <c:pt idx="1">
                    <c:v>0.1052075983569572</c:v>
                  </c:pt>
                  <c:pt idx="2">
                    <c:v>0.17492794517066981</c:v>
                  </c:pt>
                  <c:pt idx="3">
                    <c:v>8.3332813684224613E-2</c:v>
                  </c:pt>
                </c:numCache>
              </c:numRef>
            </c:plus>
            <c:minus>
              <c:numRef>
                <c:f>[3]Sheet1!$O$15:$O$18</c:f>
                <c:numCache>
                  <c:formatCode>General</c:formatCode>
                  <c:ptCount val="4"/>
                  <c:pt idx="0">
                    <c:v>6.0311554278745426E-2</c:v>
                  </c:pt>
                  <c:pt idx="1">
                    <c:v>0.1052075983569572</c:v>
                  </c:pt>
                  <c:pt idx="2">
                    <c:v>0.17492794517066981</c:v>
                  </c:pt>
                  <c:pt idx="3">
                    <c:v>8.3332813684224613E-2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val>
            <c:numRef>
              <c:f>[3]Sheet1!$M$15:$M$18</c:f>
              <c:numCache>
                <c:formatCode>General</c:formatCode>
                <c:ptCount val="4"/>
                <c:pt idx="0">
                  <c:v>1.0000001565231538</c:v>
                </c:pt>
                <c:pt idx="1">
                  <c:v>1.3695991187050549</c:v>
                </c:pt>
                <c:pt idx="2">
                  <c:v>1.8905488174756726</c:v>
                </c:pt>
                <c:pt idx="3">
                  <c:v>2.1295978338342967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7-2848-9EB2-17C3CFC3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371080"/>
        <c:axId val="2088226744"/>
      </c:barChart>
      <c:catAx>
        <c:axId val="2088371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8226744"/>
        <c:crosses val="autoZero"/>
        <c:auto val="1"/>
        <c:lblAlgn val="ctr"/>
        <c:lblOffset val="100"/>
        <c:noMultiLvlLbl val="0"/>
      </c:catAx>
      <c:valAx>
        <c:axId val="2088226744"/>
        <c:scaling>
          <c:orientation val="minMax"/>
          <c:max val="3"/>
        </c:scaling>
        <c:delete val="0"/>
        <c:axPos val="l"/>
        <c:numFmt formatCode="General" sourceLinked="1"/>
        <c:majorTickMark val="out"/>
        <c:minorTickMark val="none"/>
        <c:tickLblPos val="nextTo"/>
        <c:crossAx val="20883710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5'!$D$86:$D$93</c:f>
                <c:numCache>
                  <c:formatCode>General</c:formatCode>
                  <c:ptCount val="8"/>
                  <c:pt idx="0">
                    <c:v>0.16080585637300826</c:v>
                  </c:pt>
                  <c:pt idx="1">
                    <c:v>6.5947073262489525E-2</c:v>
                  </c:pt>
                  <c:pt idx="2">
                    <c:v>9.4134573712913089E-2</c:v>
                  </c:pt>
                  <c:pt idx="3">
                    <c:v>0.11457370894927232</c:v>
                  </c:pt>
                  <c:pt idx="4">
                    <c:v>5.0699762980996231E-2</c:v>
                  </c:pt>
                  <c:pt idx="5">
                    <c:v>5.2222593389629542E-2</c:v>
                  </c:pt>
                  <c:pt idx="6">
                    <c:v>0.14029621741117979</c:v>
                  </c:pt>
                  <c:pt idx="7">
                    <c:v>6.9121470462709445E-2</c:v>
                  </c:pt>
                </c:numCache>
              </c:numRef>
            </c:plus>
            <c:minus>
              <c:numRef>
                <c:f>'Figure 5'!$D$86:$D$93</c:f>
                <c:numCache>
                  <c:formatCode>General</c:formatCode>
                  <c:ptCount val="8"/>
                  <c:pt idx="0">
                    <c:v>0.16080585637300826</c:v>
                  </c:pt>
                  <c:pt idx="1">
                    <c:v>6.5947073262489525E-2</c:v>
                  </c:pt>
                  <c:pt idx="2">
                    <c:v>9.4134573712913089E-2</c:v>
                  </c:pt>
                  <c:pt idx="3">
                    <c:v>0.11457370894927232</c:v>
                  </c:pt>
                  <c:pt idx="4">
                    <c:v>5.0699762980996231E-2</c:v>
                  </c:pt>
                  <c:pt idx="5">
                    <c:v>5.2222593389629542E-2</c:v>
                  </c:pt>
                  <c:pt idx="6">
                    <c:v>0.14029621741117979</c:v>
                  </c:pt>
                  <c:pt idx="7">
                    <c:v>6.9121470462709445E-2</c:v>
                  </c:pt>
                </c:numCache>
              </c:numRef>
            </c:minus>
          </c:errBars>
          <c:cat>
            <c:strRef>
              <c:f>'Figure 5'!$A$86:$A$93</c:f>
              <c:strCache>
                <c:ptCount val="8"/>
                <c:pt idx="0">
                  <c:v>mCherry</c:v>
                </c:pt>
                <c:pt idx="1">
                  <c:v>HSP70</c:v>
                </c:pt>
                <c:pt idx="2">
                  <c:v>WT</c:v>
                </c:pt>
                <c:pt idx="3">
                  <c:v>NT</c:v>
                </c:pt>
                <c:pt idx="4">
                  <c:v>ED</c:v>
                </c:pt>
                <c:pt idx="5">
                  <c:v>PM</c:v>
                </c:pt>
                <c:pt idx="6">
                  <c:v>CT</c:v>
                </c:pt>
                <c:pt idx="7">
                  <c:v>cATP</c:v>
                </c:pt>
              </c:strCache>
            </c:strRef>
          </c:cat>
          <c:val>
            <c:numRef>
              <c:f>'Figure 5'!$B$86:$B$93</c:f>
              <c:numCache>
                <c:formatCode>General</c:formatCode>
                <c:ptCount val="8"/>
                <c:pt idx="0">
                  <c:v>0.99999994907206846</c:v>
                </c:pt>
                <c:pt idx="1">
                  <c:v>0.38338542590896701</c:v>
                </c:pt>
                <c:pt idx="2">
                  <c:v>0.45870366569343873</c:v>
                </c:pt>
                <c:pt idx="3">
                  <c:v>0.47518313053034084</c:v>
                </c:pt>
                <c:pt idx="4">
                  <c:v>0.329361040912306</c:v>
                </c:pt>
                <c:pt idx="5">
                  <c:v>0.34027065307389154</c:v>
                </c:pt>
                <c:pt idx="6">
                  <c:v>0.81642750670648045</c:v>
                </c:pt>
                <c:pt idx="7">
                  <c:v>0.82051511057752868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8-1040-BE4C-707E59AE0A1E}"/>
            </c:ext>
          </c:extLst>
        </c:ser>
        <c:ser>
          <c:idx val="1"/>
          <c:order val="1"/>
          <c:spPr>
            <a:solidFill>
              <a:schemeClr val="accent6">
                <a:lumMod val="50000"/>
              </a:schemeClr>
            </a:solidFill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5'!$G$86:$G$93</c:f>
                <c:numCache>
                  <c:formatCode>General</c:formatCode>
                  <c:ptCount val="8"/>
                  <c:pt idx="0">
                    <c:v>0.10444185602854922</c:v>
                  </c:pt>
                  <c:pt idx="1">
                    <c:v>5.0103402512715806E-2</c:v>
                  </c:pt>
                  <c:pt idx="2">
                    <c:v>6.043339358610287E-2</c:v>
                  </c:pt>
                  <c:pt idx="3">
                    <c:v>1.5277837022945146E-2</c:v>
                  </c:pt>
                  <c:pt idx="4">
                    <c:v>2.454158184677533E-2</c:v>
                  </c:pt>
                  <c:pt idx="5">
                    <c:v>5.4701121142338278E-2</c:v>
                  </c:pt>
                  <c:pt idx="6">
                    <c:v>7.3347411581234284E-2</c:v>
                  </c:pt>
                  <c:pt idx="7">
                    <c:v>6.0631534789049722E-2</c:v>
                  </c:pt>
                </c:numCache>
              </c:numRef>
            </c:plus>
            <c:minus>
              <c:numRef>
                <c:f>'Figure 5'!$G$86:$G$93</c:f>
                <c:numCache>
                  <c:formatCode>General</c:formatCode>
                  <c:ptCount val="8"/>
                  <c:pt idx="0">
                    <c:v>0.10444185602854922</c:v>
                  </c:pt>
                  <c:pt idx="1">
                    <c:v>5.0103402512715806E-2</c:v>
                  </c:pt>
                  <c:pt idx="2">
                    <c:v>6.043339358610287E-2</c:v>
                  </c:pt>
                  <c:pt idx="3">
                    <c:v>1.5277837022945146E-2</c:v>
                  </c:pt>
                  <c:pt idx="4">
                    <c:v>2.454158184677533E-2</c:v>
                  </c:pt>
                  <c:pt idx="5">
                    <c:v>5.4701121142338278E-2</c:v>
                  </c:pt>
                  <c:pt idx="6">
                    <c:v>7.3347411581234284E-2</c:v>
                  </c:pt>
                  <c:pt idx="7">
                    <c:v>6.0631534789049722E-2</c:v>
                  </c:pt>
                </c:numCache>
              </c:numRef>
            </c:minus>
          </c:errBars>
          <c:cat>
            <c:strRef>
              <c:f>'Figure 5'!$A$86:$A$93</c:f>
              <c:strCache>
                <c:ptCount val="8"/>
                <c:pt idx="0">
                  <c:v>mCherry</c:v>
                </c:pt>
                <c:pt idx="1">
                  <c:v>HSP70</c:v>
                </c:pt>
                <c:pt idx="2">
                  <c:v>WT</c:v>
                </c:pt>
                <c:pt idx="3">
                  <c:v>NT</c:v>
                </c:pt>
                <c:pt idx="4">
                  <c:v>ED</c:v>
                </c:pt>
                <c:pt idx="5">
                  <c:v>PM</c:v>
                </c:pt>
                <c:pt idx="6">
                  <c:v>CT</c:v>
                </c:pt>
                <c:pt idx="7">
                  <c:v>cATP</c:v>
                </c:pt>
              </c:strCache>
            </c:strRef>
          </c:cat>
          <c:val>
            <c:numRef>
              <c:f>'Figure 5'!$E$86:$E$93</c:f>
              <c:numCache>
                <c:formatCode>General</c:formatCode>
                <c:ptCount val="8"/>
                <c:pt idx="0">
                  <c:v>1.0000031318742397</c:v>
                </c:pt>
                <c:pt idx="1">
                  <c:v>0.35957243212477891</c:v>
                </c:pt>
                <c:pt idx="2">
                  <c:v>0.43382765714728039</c:v>
                </c:pt>
                <c:pt idx="3">
                  <c:v>0.36441548715670224</c:v>
                </c:pt>
                <c:pt idx="4">
                  <c:v>0.35944802878199206</c:v>
                </c:pt>
                <c:pt idx="5">
                  <c:v>0.35425302430199768</c:v>
                </c:pt>
                <c:pt idx="6">
                  <c:v>0.88553200043480584</c:v>
                </c:pt>
                <c:pt idx="7">
                  <c:v>0.97721162763241287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8-1040-BE4C-707E59AE0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556136"/>
        <c:axId val="2088249288"/>
      </c:barChart>
      <c:catAx>
        <c:axId val="2088556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8249288"/>
        <c:crosses val="autoZero"/>
        <c:auto val="1"/>
        <c:lblAlgn val="ctr"/>
        <c:lblOffset val="100"/>
        <c:noMultiLvlLbl val="0"/>
      </c:catAx>
      <c:valAx>
        <c:axId val="2088249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88556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KCl Rescue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Control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6'!$H$25:$H$32</c:f>
                <c:numCache>
                  <c:formatCode>General</c:formatCode>
                  <c:ptCount val="8"/>
                  <c:pt idx="0">
                    <c:v>3.493883255652046</c:v>
                  </c:pt>
                  <c:pt idx="1">
                    <c:v>4.4622655427208624</c:v>
                  </c:pt>
                  <c:pt idx="2">
                    <c:v>7.4812594822521516</c:v>
                  </c:pt>
                  <c:pt idx="3">
                    <c:v>5.9962394348740906</c:v>
                  </c:pt>
                  <c:pt idx="4">
                    <c:v>1.64822110517025</c:v>
                  </c:pt>
                  <c:pt idx="5">
                    <c:v>3.9270835822514734</c:v>
                  </c:pt>
                  <c:pt idx="6">
                    <c:v>2.8389113486452331</c:v>
                  </c:pt>
                  <c:pt idx="7">
                    <c:v>2.684321034640393</c:v>
                  </c:pt>
                </c:numCache>
              </c:numRef>
            </c:plus>
            <c:minus>
              <c:numRef>
                <c:f>'Figure 6'!$H$25:$H$32</c:f>
                <c:numCache>
                  <c:formatCode>General</c:formatCode>
                  <c:ptCount val="8"/>
                  <c:pt idx="0">
                    <c:v>3.493883255652046</c:v>
                  </c:pt>
                  <c:pt idx="1">
                    <c:v>4.4622655427208624</c:v>
                  </c:pt>
                  <c:pt idx="2">
                    <c:v>7.4812594822521516</c:v>
                  </c:pt>
                  <c:pt idx="3">
                    <c:v>5.9962394348740906</c:v>
                  </c:pt>
                  <c:pt idx="4">
                    <c:v>1.64822110517025</c:v>
                  </c:pt>
                  <c:pt idx="5">
                    <c:v>3.9270835822514734</c:v>
                  </c:pt>
                  <c:pt idx="6">
                    <c:v>2.8389113486452331</c:v>
                  </c:pt>
                  <c:pt idx="7">
                    <c:v>2.684321034640393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cat>
            <c:strRef>
              <c:f>'Figure 6'!$A$25:$A$32</c:f>
              <c:strCache>
                <c:ptCount val="8"/>
                <c:pt idx="0">
                  <c:v>WT-GFP</c:v>
                </c:pt>
                <c:pt idx="1">
                  <c:v>WT-WT</c:v>
                </c:pt>
                <c:pt idx="2">
                  <c:v>WT-ED</c:v>
                </c:pt>
                <c:pt idx="3">
                  <c:v>WT-cATP</c:v>
                </c:pt>
                <c:pt idx="4">
                  <c:v>KO-GFP</c:v>
                </c:pt>
                <c:pt idx="5">
                  <c:v>KO-WT</c:v>
                </c:pt>
                <c:pt idx="6">
                  <c:v>KO-ED</c:v>
                </c:pt>
                <c:pt idx="7">
                  <c:v>KO-cATP</c:v>
                </c:pt>
              </c:strCache>
            </c:strRef>
          </c:cat>
          <c:val>
            <c:numRef>
              <c:f>'Figure 6'!$D$25:$D$32</c:f>
              <c:numCache>
                <c:formatCode>General</c:formatCode>
                <c:ptCount val="8"/>
                <c:pt idx="0">
                  <c:v>100.00000050030381</c:v>
                </c:pt>
                <c:pt idx="1">
                  <c:v>106.84835854630205</c:v>
                </c:pt>
                <c:pt idx="2">
                  <c:v>103.72966612658828</c:v>
                </c:pt>
                <c:pt idx="3">
                  <c:v>102.87424645394665</c:v>
                </c:pt>
                <c:pt idx="4">
                  <c:v>83.592433407228114</c:v>
                </c:pt>
                <c:pt idx="5">
                  <c:v>103.27931816503175</c:v>
                </c:pt>
                <c:pt idx="6">
                  <c:v>96.902288706999741</c:v>
                </c:pt>
                <c:pt idx="7">
                  <c:v>96.933874600394518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7-7B4B-AD70-471267F60173}"/>
            </c:ext>
          </c:extLst>
        </c:ser>
        <c:ser>
          <c:idx val="1"/>
          <c:order val="1"/>
          <c:tx>
            <c:v>KCl</c:v>
          </c:tx>
          <c:spPr>
            <a:solidFill>
              <a:srgbClr val="00009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6'!$I$25:$I$32</c:f>
                <c:numCache>
                  <c:formatCode>General</c:formatCode>
                  <c:ptCount val="8"/>
                  <c:pt idx="0">
                    <c:v>3.1098340420288126</c:v>
                  </c:pt>
                  <c:pt idx="1">
                    <c:v>8.8841252866022202</c:v>
                  </c:pt>
                  <c:pt idx="2">
                    <c:v>4.8064617358016903</c:v>
                  </c:pt>
                  <c:pt idx="3">
                    <c:v>9.0026906976309817</c:v>
                  </c:pt>
                  <c:pt idx="4">
                    <c:v>5.5349153608879496</c:v>
                  </c:pt>
                  <c:pt idx="5">
                    <c:v>6.1792950117798267</c:v>
                  </c:pt>
                  <c:pt idx="6">
                    <c:v>5.0721455760883689</c:v>
                  </c:pt>
                  <c:pt idx="7">
                    <c:v>2.626197233019389</c:v>
                  </c:pt>
                </c:numCache>
              </c:numRef>
            </c:plus>
            <c:minus>
              <c:numRef>
                <c:f>'Figure 6'!$I$25:$I$32</c:f>
                <c:numCache>
                  <c:formatCode>General</c:formatCode>
                  <c:ptCount val="8"/>
                  <c:pt idx="0">
                    <c:v>3.1098340420288126</c:v>
                  </c:pt>
                  <c:pt idx="1">
                    <c:v>8.8841252866022202</c:v>
                  </c:pt>
                  <c:pt idx="2">
                    <c:v>4.8064617358016903</c:v>
                  </c:pt>
                  <c:pt idx="3">
                    <c:v>9.0026906976309817</c:v>
                  </c:pt>
                  <c:pt idx="4">
                    <c:v>5.5349153608879496</c:v>
                  </c:pt>
                  <c:pt idx="5">
                    <c:v>6.1792950117798267</c:v>
                  </c:pt>
                  <c:pt idx="6">
                    <c:v>5.0721455760883689</c:v>
                  </c:pt>
                  <c:pt idx="7">
                    <c:v>2.626197233019389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cat>
            <c:strRef>
              <c:f>'Figure 6'!$A$25:$A$32</c:f>
              <c:strCache>
                <c:ptCount val="8"/>
                <c:pt idx="0">
                  <c:v>WT-GFP</c:v>
                </c:pt>
                <c:pt idx="1">
                  <c:v>WT-WT</c:v>
                </c:pt>
                <c:pt idx="2">
                  <c:v>WT-ED</c:v>
                </c:pt>
                <c:pt idx="3">
                  <c:v>WT-cATP</c:v>
                </c:pt>
                <c:pt idx="4">
                  <c:v>KO-GFP</c:v>
                </c:pt>
                <c:pt idx="5">
                  <c:v>KO-WT</c:v>
                </c:pt>
                <c:pt idx="6">
                  <c:v>KO-ED</c:v>
                </c:pt>
                <c:pt idx="7">
                  <c:v>KO-cATP</c:v>
                </c:pt>
              </c:strCache>
            </c:strRef>
          </c:cat>
          <c:val>
            <c:numRef>
              <c:f>'Figure 6'!$E$25:$E$32</c:f>
              <c:numCache>
                <c:formatCode>General</c:formatCode>
                <c:ptCount val="8"/>
                <c:pt idx="0">
                  <c:v>85.033339553178706</c:v>
                </c:pt>
                <c:pt idx="1">
                  <c:v>107.06804578499273</c:v>
                </c:pt>
                <c:pt idx="2">
                  <c:v>85.422731653056218</c:v>
                </c:pt>
                <c:pt idx="3">
                  <c:v>107.12693668759447</c:v>
                </c:pt>
                <c:pt idx="4">
                  <c:v>51.543135763478446</c:v>
                </c:pt>
                <c:pt idx="5">
                  <c:v>99.734380727997561</c:v>
                </c:pt>
                <c:pt idx="6">
                  <c:v>60.707943997335889</c:v>
                </c:pt>
                <c:pt idx="7">
                  <c:v>93.895596811286197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7-7B4B-AD70-471267F60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424392"/>
        <c:axId val="2095427592"/>
      </c:barChart>
      <c:catAx>
        <c:axId val="2095424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 b="1"/>
            </a:pPr>
            <a:endParaRPr lang="en-US"/>
          </a:p>
        </c:txPr>
        <c:crossAx val="2095427592"/>
        <c:crosses val="autoZero"/>
        <c:auto val="1"/>
        <c:lblAlgn val="ctr"/>
        <c:lblOffset val="100"/>
        <c:noMultiLvlLbl val="0"/>
      </c:catAx>
      <c:valAx>
        <c:axId val="2095427592"/>
        <c:scaling>
          <c:orientation val="minMax"/>
          <c:max val="1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 b="1"/>
            </a:pPr>
            <a:endParaRPr lang="en-US"/>
          </a:p>
        </c:txPr>
        <c:crossAx val="2095424392"/>
        <c:crosses val="autoZero"/>
        <c:crossBetween val="between"/>
        <c:majorUnit val="40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6C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DIV5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'Figure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2-CB4B-9741-844A396E07A3}"/>
            </c:ext>
          </c:extLst>
        </c:ser>
        <c:ser>
          <c:idx val="1"/>
          <c:order val="1"/>
          <c:tx>
            <c:v>DIV10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'Figure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2-CB4B-9741-844A396E07A3}"/>
            </c:ext>
          </c:extLst>
        </c:ser>
        <c:ser>
          <c:idx val="2"/>
          <c:order val="2"/>
          <c:tx>
            <c:v>DIV15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'Figure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2-CB4B-9741-844A396E07A3}"/>
            </c:ext>
          </c:extLst>
        </c:ser>
        <c:ser>
          <c:idx val="3"/>
          <c:order val="3"/>
          <c:tx>
            <c:v>DIV20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'Figure 6'!#REF!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'Figure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C2-CB4B-9741-844A396E0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774712"/>
        <c:axId val="2089778104"/>
      </c:barChart>
      <c:catAx>
        <c:axId val="2089774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89778104"/>
        <c:crosses val="autoZero"/>
        <c:auto val="1"/>
        <c:lblAlgn val="ctr"/>
        <c:lblOffset val="100"/>
        <c:noMultiLvlLbl val="0"/>
      </c:catAx>
      <c:valAx>
        <c:axId val="2089778104"/>
        <c:scaling>
          <c:orientation val="minMax"/>
          <c:max val="12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89774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MG-132</a:t>
            </a:r>
            <a:r>
              <a:rPr lang="en-US" baseline="0"/>
              <a:t> Rescue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DMSO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6'!$F$25:$F$32</c:f>
                <c:numCache>
                  <c:formatCode>General</c:formatCode>
                  <c:ptCount val="8"/>
                  <c:pt idx="0">
                    <c:v>2.0098095524830275</c:v>
                  </c:pt>
                  <c:pt idx="1">
                    <c:v>6.4013469053397856</c:v>
                  </c:pt>
                  <c:pt idx="2">
                    <c:v>4.1710089431737174</c:v>
                  </c:pt>
                  <c:pt idx="3">
                    <c:v>4.2484476541747878</c:v>
                  </c:pt>
                  <c:pt idx="4">
                    <c:v>3.5517338624954373</c:v>
                  </c:pt>
                  <c:pt idx="5">
                    <c:v>6.147507386884107</c:v>
                  </c:pt>
                  <c:pt idx="6">
                    <c:v>4.4740001920461259</c:v>
                  </c:pt>
                  <c:pt idx="7">
                    <c:v>4.3823351487279885</c:v>
                  </c:pt>
                </c:numCache>
              </c:numRef>
            </c:plus>
            <c:minus>
              <c:numRef>
                <c:f>'Figure 6'!$F$25:$F$32</c:f>
                <c:numCache>
                  <c:formatCode>General</c:formatCode>
                  <c:ptCount val="8"/>
                  <c:pt idx="0">
                    <c:v>2.0098095524830275</c:v>
                  </c:pt>
                  <c:pt idx="1">
                    <c:v>6.4013469053397856</c:v>
                  </c:pt>
                  <c:pt idx="2">
                    <c:v>4.1710089431737174</c:v>
                  </c:pt>
                  <c:pt idx="3">
                    <c:v>4.2484476541747878</c:v>
                  </c:pt>
                  <c:pt idx="4">
                    <c:v>3.5517338624954373</c:v>
                  </c:pt>
                  <c:pt idx="5">
                    <c:v>6.147507386884107</c:v>
                  </c:pt>
                  <c:pt idx="6">
                    <c:v>4.4740001920461259</c:v>
                  </c:pt>
                  <c:pt idx="7">
                    <c:v>4.3823351487279885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cat>
            <c:strRef>
              <c:f>'Figure 6'!$A$25:$A$32</c:f>
              <c:strCache>
                <c:ptCount val="8"/>
                <c:pt idx="0">
                  <c:v>WT-GFP</c:v>
                </c:pt>
                <c:pt idx="1">
                  <c:v>WT-WT</c:v>
                </c:pt>
                <c:pt idx="2">
                  <c:v>WT-ED</c:v>
                </c:pt>
                <c:pt idx="3">
                  <c:v>WT-cATP</c:v>
                </c:pt>
                <c:pt idx="4">
                  <c:v>KO-GFP</c:v>
                </c:pt>
                <c:pt idx="5">
                  <c:v>KO-WT</c:v>
                </c:pt>
                <c:pt idx="6">
                  <c:v>KO-ED</c:v>
                </c:pt>
                <c:pt idx="7">
                  <c:v>KO-cATP</c:v>
                </c:pt>
              </c:strCache>
            </c:strRef>
          </c:cat>
          <c:val>
            <c:numRef>
              <c:f>'Figure 6'!$B$25:$B$32</c:f>
              <c:numCache>
                <c:formatCode>General</c:formatCode>
                <c:ptCount val="8"/>
                <c:pt idx="0">
                  <c:v>100.01011113452017</c:v>
                </c:pt>
                <c:pt idx="1">
                  <c:v>111.25346307805751</c:v>
                </c:pt>
                <c:pt idx="2">
                  <c:v>107.07941937480248</c:v>
                </c:pt>
                <c:pt idx="3">
                  <c:v>107.22250483250816</c:v>
                </c:pt>
                <c:pt idx="4">
                  <c:v>88.462752393869152</c:v>
                </c:pt>
                <c:pt idx="5">
                  <c:v>104.56878605288107</c:v>
                </c:pt>
                <c:pt idx="6">
                  <c:v>103.35531327688824</c:v>
                </c:pt>
                <c:pt idx="7">
                  <c:v>102.40903231328346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3-9645-A3C2-994B6D2B9221}"/>
            </c:ext>
          </c:extLst>
        </c:ser>
        <c:ser>
          <c:idx val="1"/>
          <c:order val="1"/>
          <c:tx>
            <c:v>MG-132</c:v>
          </c:tx>
          <c:spPr>
            <a:solidFill>
              <a:srgbClr val="00009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6'!$G$25:$G$32</c:f>
                <c:numCache>
                  <c:formatCode>General</c:formatCode>
                  <c:ptCount val="8"/>
                  <c:pt idx="0">
                    <c:v>4.5239339156395157</c:v>
                  </c:pt>
                  <c:pt idx="1">
                    <c:v>10.524859179120162</c:v>
                  </c:pt>
                  <c:pt idx="2">
                    <c:v>6.8524948869665652</c:v>
                  </c:pt>
                  <c:pt idx="3">
                    <c:v>5.4487089789519985</c:v>
                  </c:pt>
                  <c:pt idx="4">
                    <c:v>5.5840143474910766</c:v>
                  </c:pt>
                  <c:pt idx="5">
                    <c:v>6.9830623197613209</c:v>
                  </c:pt>
                  <c:pt idx="6">
                    <c:v>5.8162609463804564</c:v>
                  </c:pt>
                  <c:pt idx="7">
                    <c:v>5.386178163895865</c:v>
                  </c:pt>
                </c:numCache>
              </c:numRef>
            </c:plus>
            <c:minus>
              <c:numRef>
                <c:f>'Figure 6'!$F$25:$F$32</c:f>
                <c:numCache>
                  <c:formatCode>General</c:formatCode>
                  <c:ptCount val="8"/>
                  <c:pt idx="0">
                    <c:v>2.0098095524830275</c:v>
                  </c:pt>
                  <c:pt idx="1">
                    <c:v>6.4013469053397856</c:v>
                  </c:pt>
                  <c:pt idx="2">
                    <c:v>4.1710089431737174</c:v>
                  </c:pt>
                  <c:pt idx="3">
                    <c:v>4.2484476541747878</c:v>
                  </c:pt>
                  <c:pt idx="4">
                    <c:v>3.5517338624954373</c:v>
                  </c:pt>
                  <c:pt idx="5">
                    <c:v>6.147507386884107</c:v>
                  </c:pt>
                  <c:pt idx="6">
                    <c:v>4.4740001920461259</c:v>
                  </c:pt>
                  <c:pt idx="7">
                    <c:v>4.3823351487279885</c:v>
                  </c:pt>
                </c:numCache>
              </c:numRef>
            </c:minus>
          </c:errBars>
          <c:cat>
            <c:strRef>
              <c:f>'Figure 6'!$A$25:$A$32</c:f>
              <c:strCache>
                <c:ptCount val="8"/>
                <c:pt idx="0">
                  <c:v>WT-GFP</c:v>
                </c:pt>
                <c:pt idx="1">
                  <c:v>WT-WT</c:v>
                </c:pt>
                <c:pt idx="2">
                  <c:v>WT-ED</c:v>
                </c:pt>
                <c:pt idx="3">
                  <c:v>WT-cATP</c:v>
                </c:pt>
                <c:pt idx="4">
                  <c:v>KO-GFP</c:v>
                </c:pt>
                <c:pt idx="5">
                  <c:v>KO-WT</c:v>
                </c:pt>
                <c:pt idx="6">
                  <c:v>KO-ED</c:v>
                </c:pt>
                <c:pt idx="7">
                  <c:v>KO-cATP</c:v>
                </c:pt>
              </c:strCache>
            </c:strRef>
          </c:cat>
          <c:val>
            <c:numRef>
              <c:f>'Figure 6'!$C$25:$C$32</c:f>
              <c:numCache>
                <c:formatCode>General</c:formatCode>
                <c:ptCount val="8"/>
                <c:pt idx="0">
                  <c:v>82.910353945012105</c:v>
                </c:pt>
                <c:pt idx="1">
                  <c:v>124.90802933740649</c:v>
                </c:pt>
                <c:pt idx="2">
                  <c:v>119.79340208574739</c:v>
                </c:pt>
                <c:pt idx="3">
                  <c:v>86.71352949225745</c:v>
                </c:pt>
                <c:pt idx="4">
                  <c:v>53.077958364057721</c:v>
                </c:pt>
                <c:pt idx="5">
                  <c:v>117.64664884651847</c:v>
                </c:pt>
                <c:pt idx="6">
                  <c:v>124.76408734067206</c:v>
                </c:pt>
                <c:pt idx="7">
                  <c:v>56.793571052354366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3-9645-A3C2-994B6D2B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727912"/>
        <c:axId val="2095731112"/>
      </c:barChart>
      <c:catAx>
        <c:axId val="2095727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 b="1"/>
            </a:pPr>
            <a:endParaRPr lang="en-US"/>
          </a:p>
        </c:txPr>
        <c:crossAx val="2095731112"/>
        <c:crosses val="autoZero"/>
        <c:auto val="1"/>
        <c:lblAlgn val="ctr"/>
        <c:lblOffset val="100"/>
        <c:noMultiLvlLbl val="0"/>
      </c:catAx>
      <c:valAx>
        <c:axId val="2095731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 b="1"/>
            </a:pPr>
            <a:endParaRPr lang="en-US"/>
          </a:p>
        </c:txPr>
        <c:crossAx val="2095727912"/>
        <c:crosses val="autoZero"/>
        <c:crossBetween val="between"/>
        <c:majorUnit val="40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Synaptophysin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6"/>
            <c:spPr>
              <a:ln w="12700"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[4]Sheet1!$B$35:$B$46</c:f>
              <c:numCache>
                <c:formatCode>General</c:formatCode>
                <c:ptCount val="12"/>
                <c:pt idx="0">
                  <c:v>0.72460317626373094</c:v>
                </c:pt>
                <c:pt idx="1">
                  <c:v>1.9352859814181249</c:v>
                </c:pt>
                <c:pt idx="2">
                  <c:v>1.1943768885575354</c:v>
                </c:pt>
                <c:pt idx="3">
                  <c:v>0.46860265805267243</c:v>
                </c:pt>
                <c:pt idx="4">
                  <c:v>1.0472861262571833</c:v>
                </c:pt>
                <c:pt idx="5">
                  <c:v>0.62984516635222754</c:v>
                </c:pt>
                <c:pt idx="6">
                  <c:v>0.73575963086085983</c:v>
                </c:pt>
                <c:pt idx="7">
                  <c:v>0.54433588048033521</c:v>
                </c:pt>
                <c:pt idx="8">
                  <c:v>0.81287901543230623</c:v>
                </c:pt>
                <c:pt idx="9">
                  <c:v>0.61520579448570312</c:v>
                </c:pt>
                <c:pt idx="10">
                  <c:v>0.38432849332373592</c:v>
                </c:pt>
                <c:pt idx="11">
                  <c:v>0.67307511168381817</c:v>
                </c:pt>
              </c:numCache>
            </c:numRef>
          </c:xVal>
          <c:yVal>
            <c:numRef>
              <c:f>[4]Sheet1!$C$35:$C$46</c:f>
              <c:numCache>
                <c:formatCode>General</c:formatCode>
                <c:ptCount val="12"/>
                <c:pt idx="0">
                  <c:v>0.58483339391103661</c:v>
                </c:pt>
                <c:pt idx="1">
                  <c:v>1.8257477340030077</c:v>
                </c:pt>
                <c:pt idx="2">
                  <c:v>1.2005589454603782</c:v>
                </c:pt>
                <c:pt idx="3">
                  <c:v>0.47270683744741376</c:v>
                </c:pt>
                <c:pt idx="4">
                  <c:v>1.2191324751177119</c:v>
                </c:pt>
                <c:pt idx="5">
                  <c:v>0.69702062013005828</c:v>
                </c:pt>
                <c:pt idx="6">
                  <c:v>0.69608009436088381</c:v>
                </c:pt>
                <c:pt idx="7">
                  <c:v>0.64239603539143064</c:v>
                </c:pt>
                <c:pt idx="8">
                  <c:v>0.79086984818378203</c:v>
                </c:pt>
                <c:pt idx="9">
                  <c:v>0.71257069031353248</c:v>
                </c:pt>
                <c:pt idx="10">
                  <c:v>0.64432711068140314</c:v>
                </c:pt>
                <c:pt idx="11">
                  <c:v>0.64108169853457853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9-1C40-BCBD-8FC40E78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588312"/>
        <c:axId val="2095651208"/>
      </c:scatterChart>
      <c:valAx>
        <c:axId val="2095588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651208"/>
        <c:crosses val="autoZero"/>
        <c:crossBetween val="midCat"/>
      </c:valAx>
      <c:valAx>
        <c:axId val="2095651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588312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VGlut1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6"/>
            <c:spPr>
              <a:ln w="12700"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[4]Sheet1!$B$35:$B$46</c:f>
              <c:numCache>
                <c:formatCode>General</c:formatCode>
                <c:ptCount val="12"/>
                <c:pt idx="0">
                  <c:v>0.72460317626373094</c:v>
                </c:pt>
                <c:pt idx="1">
                  <c:v>1.9352859814181249</c:v>
                </c:pt>
                <c:pt idx="2">
                  <c:v>1.1943768885575354</c:v>
                </c:pt>
                <c:pt idx="3">
                  <c:v>0.46860265805267243</c:v>
                </c:pt>
                <c:pt idx="4">
                  <c:v>1.0472861262571833</c:v>
                </c:pt>
                <c:pt idx="5">
                  <c:v>0.62984516635222754</c:v>
                </c:pt>
                <c:pt idx="6">
                  <c:v>0.73575963086085983</c:v>
                </c:pt>
                <c:pt idx="7">
                  <c:v>0.54433588048033521</c:v>
                </c:pt>
                <c:pt idx="8">
                  <c:v>0.81287901543230623</c:v>
                </c:pt>
                <c:pt idx="9">
                  <c:v>0.61520579448570312</c:v>
                </c:pt>
                <c:pt idx="10">
                  <c:v>0.38432849332373592</c:v>
                </c:pt>
                <c:pt idx="11">
                  <c:v>0.67307511168381817</c:v>
                </c:pt>
              </c:numCache>
            </c:numRef>
          </c:xVal>
          <c:yVal>
            <c:numRef>
              <c:f>[4]Sheet1!$D$35:$D$46</c:f>
              <c:numCache>
                <c:formatCode>General</c:formatCode>
                <c:ptCount val="12"/>
                <c:pt idx="0">
                  <c:v>0.59160923869516868</c:v>
                </c:pt>
                <c:pt idx="1">
                  <c:v>1.9227647920572872</c:v>
                </c:pt>
                <c:pt idx="2">
                  <c:v>1.1470249088665463</c:v>
                </c:pt>
                <c:pt idx="3">
                  <c:v>0.46775878882764427</c:v>
                </c:pt>
                <c:pt idx="4">
                  <c:v>1.2052355062617359</c:v>
                </c:pt>
                <c:pt idx="5">
                  <c:v>0.66560678705110854</c:v>
                </c:pt>
                <c:pt idx="6">
                  <c:v>0.80599261842826542</c:v>
                </c:pt>
                <c:pt idx="7">
                  <c:v>0.76264064410609711</c:v>
                </c:pt>
                <c:pt idx="8">
                  <c:v>0.83415489260075226</c:v>
                </c:pt>
                <c:pt idx="9">
                  <c:v>0.75803663292454426</c:v>
                </c:pt>
                <c:pt idx="10">
                  <c:v>0.64078890839761848</c:v>
                </c:pt>
                <c:pt idx="11">
                  <c:v>0.58647516749781048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21-CC41-ACF3-E37098C4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320136"/>
        <c:axId val="2091255960"/>
      </c:scatterChart>
      <c:valAx>
        <c:axId val="2095320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1255960"/>
        <c:crosses val="autoZero"/>
        <c:crossBetween val="midCat"/>
      </c:valAx>
      <c:valAx>
        <c:axId val="2091255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320136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SNAP25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6"/>
            <c:spPr>
              <a:ln w="12700"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[4]Sheet1!$B$35:$B$46</c:f>
              <c:numCache>
                <c:formatCode>General</c:formatCode>
                <c:ptCount val="12"/>
                <c:pt idx="0">
                  <c:v>0.72460317626373094</c:v>
                </c:pt>
                <c:pt idx="1">
                  <c:v>1.9352859814181249</c:v>
                </c:pt>
                <c:pt idx="2">
                  <c:v>1.1943768885575354</c:v>
                </c:pt>
                <c:pt idx="3">
                  <c:v>0.46860265805267243</c:v>
                </c:pt>
                <c:pt idx="4">
                  <c:v>1.0472861262571833</c:v>
                </c:pt>
                <c:pt idx="5">
                  <c:v>0.62984516635222754</c:v>
                </c:pt>
                <c:pt idx="6">
                  <c:v>0.73575963086085983</c:v>
                </c:pt>
                <c:pt idx="7">
                  <c:v>0.54433588048033521</c:v>
                </c:pt>
                <c:pt idx="8">
                  <c:v>0.81287901543230623</c:v>
                </c:pt>
                <c:pt idx="9">
                  <c:v>0.61520579448570312</c:v>
                </c:pt>
                <c:pt idx="10">
                  <c:v>0.38432849332373592</c:v>
                </c:pt>
                <c:pt idx="11">
                  <c:v>0.67307511168381817</c:v>
                </c:pt>
              </c:numCache>
            </c:numRef>
          </c:xVal>
          <c:yVal>
            <c:numRef>
              <c:f>[4]Sheet1!$E$35:$E$46</c:f>
              <c:numCache>
                <c:formatCode>General</c:formatCode>
                <c:ptCount val="12"/>
                <c:pt idx="0">
                  <c:v>0.64644168765077925</c:v>
                </c:pt>
                <c:pt idx="1">
                  <c:v>1.7927108306064219</c:v>
                </c:pt>
                <c:pt idx="2">
                  <c:v>1.2025466017516273</c:v>
                </c:pt>
                <c:pt idx="3">
                  <c:v>0.5185828647262547</c:v>
                </c:pt>
                <c:pt idx="4">
                  <c:v>1.1358732237623299</c:v>
                </c:pt>
                <c:pt idx="5">
                  <c:v>0.70384478860384414</c:v>
                </c:pt>
                <c:pt idx="6">
                  <c:v>0.60725795572104513</c:v>
                </c:pt>
                <c:pt idx="7">
                  <c:v>0.34456669610874197</c:v>
                </c:pt>
                <c:pt idx="8">
                  <c:v>0.64490947072056826</c:v>
                </c:pt>
                <c:pt idx="9">
                  <c:v>0.34012970204319698</c:v>
                </c:pt>
                <c:pt idx="10">
                  <c:v>0.23656553554082416</c:v>
                </c:pt>
                <c:pt idx="11">
                  <c:v>0.31692287394756968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CA-0649-AD06-83C3039D2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769544"/>
        <c:axId val="2095772808"/>
      </c:scatterChart>
      <c:valAx>
        <c:axId val="2095769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772808"/>
        <c:crosses val="autoZero"/>
        <c:crossBetween val="midCat"/>
      </c:valAx>
      <c:valAx>
        <c:axId val="2095772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769544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Rim1-alpha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6"/>
            <c:spPr>
              <a:ln w="12700"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[4]Sheet1!$B$35:$B$46</c:f>
              <c:numCache>
                <c:formatCode>General</c:formatCode>
                <c:ptCount val="12"/>
                <c:pt idx="0">
                  <c:v>0.72460317626373094</c:v>
                </c:pt>
                <c:pt idx="1">
                  <c:v>1.9352859814181249</c:v>
                </c:pt>
                <c:pt idx="2">
                  <c:v>1.1943768885575354</c:v>
                </c:pt>
                <c:pt idx="3">
                  <c:v>0.46860265805267243</c:v>
                </c:pt>
                <c:pt idx="4">
                  <c:v>1.0472861262571833</c:v>
                </c:pt>
                <c:pt idx="5">
                  <c:v>0.62984516635222754</c:v>
                </c:pt>
                <c:pt idx="6">
                  <c:v>0.73575963086085983</c:v>
                </c:pt>
                <c:pt idx="7">
                  <c:v>0.54433588048033521</c:v>
                </c:pt>
                <c:pt idx="8">
                  <c:v>0.81287901543230623</c:v>
                </c:pt>
                <c:pt idx="9">
                  <c:v>0.61520579448570312</c:v>
                </c:pt>
                <c:pt idx="10">
                  <c:v>0.38432849332373592</c:v>
                </c:pt>
                <c:pt idx="11">
                  <c:v>0.67307511168381817</c:v>
                </c:pt>
              </c:numCache>
            </c:numRef>
          </c:xVal>
          <c:yVal>
            <c:numRef>
              <c:f>[4]Sheet1!$F$35:$F$46</c:f>
              <c:numCache>
                <c:formatCode>General</c:formatCode>
                <c:ptCount val="12"/>
                <c:pt idx="0">
                  <c:v>0.64457330294588822</c:v>
                </c:pt>
                <c:pt idx="1">
                  <c:v>2.0084593184681809</c:v>
                </c:pt>
                <c:pt idx="2">
                  <c:v>1.182943363229036</c:v>
                </c:pt>
                <c:pt idx="3">
                  <c:v>0.45633786200024357</c:v>
                </c:pt>
                <c:pt idx="4">
                  <c:v>1.0882504393407211</c:v>
                </c:pt>
                <c:pt idx="5">
                  <c:v>0.61943571178678558</c:v>
                </c:pt>
                <c:pt idx="6">
                  <c:v>0.36415343690339402</c:v>
                </c:pt>
                <c:pt idx="7">
                  <c:v>0.42900272624583125</c:v>
                </c:pt>
                <c:pt idx="8">
                  <c:v>0.67555923953070751</c:v>
                </c:pt>
                <c:pt idx="9">
                  <c:v>0.526244115890383</c:v>
                </c:pt>
                <c:pt idx="10">
                  <c:v>0.43467627651013996</c:v>
                </c:pt>
                <c:pt idx="11">
                  <c:v>0.64819433791843772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10-C64F-A98F-D6A30623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802376"/>
        <c:axId val="2095805640"/>
      </c:scatterChart>
      <c:valAx>
        <c:axId val="2095802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805640"/>
        <c:crosses val="autoZero"/>
        <c:crossBetween val="midCat"/>
      </c:valAx>
      <c:valAx>
        <c:axId val="2095805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802376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NR1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NR1</c:v>
          </c:tx>
          <c:spPr>
            <a:ln w="47625">
              <a:noFill/>
            </a:ln>
          </c:spPr>
          <c:marker>
            <c:symbol val="circle"/>
            <c:size val="6"/>
            <c:spPr>
              <a:ln w="12700"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[4]Sheet1!$B$35:$B$46</c:f>
              <c:numCache>
                <c:formatCode>General</c:formatCode>
                <c:ptCount val="12"/>
                <c:pt idx="0">
                  <c:v>0.72460317626373094</c:v>
                </c:pt>
                <c:pt idx="1">
                  <c:v>1.9352859814181249</c:v>
                </c:pt>
                <c:pt idx="2">
                  <c:v>1.1943768885575354</c:v>
                </c:pt>
                <c:pt idx="3">
                  <c:v>0.46860265805267243</c:v>
                </c:pt>
                <c:pt idx="4">
                  <c:v>1.0472861262571833</c:v>
                </c:pt>
                <c:pt idx="5">
                  <c:v>0.62984516635222754</c:v>
                </c:pt>
                <c:pt idx="6">
                  <c:v>0.73575963086085983</c:v>
                </c:pt>
                <c:pt idx="7">
                  <c:v>0.54433588048033521</c:v>
                </c:pt>
                <c:pt idx="8">
                  <c:v>0.81287901543230623</c:v>
                </c:pt>
                <c:pt idx="9">
                  <c:v>0.61520579448570312</c:v>
                </c:pt>
                <c:pt idx="10">
                  <c:v>0.38432849332373592</c:v>
                </c:pt>
                <c:pt idx="11">
                  <c:v>0.67307511168381817</c:v>
                </c:pt>
              </c:numCache>
            </c:numRef>
          </c:xVal>
          <c:yVal>
            <c:numRef>
              <c:f>'Figure 7'!$H$64:$H$75</c:f>
              <c:numCache>
                <c:formatCode>General</c:formatCode>
                <c:ptCount val="12"/>
                <c:pt idx="0">
                  <c:v>0.74457324323150142</c:v>
                </c:pt>
                <c:pt idx="1">
                  <c:v>1.5102723741324395</c:v>
                </c:pt>
                <c:pt idx="2">
                  <c:v>0.62851633467630985</c:v>
                </c:pt>
                <c:pt idx="3">
                  <c:v>0.66143563161323038</c:v>
                </c:pt>
                <c:pt idx="4">
                  <c:v>1.527965056468626</c:v>
                </c:pt>
                <c:pt idx="5">
                  <c:v>0.92723155368426735</c:v>
                </c:pt>
                <c:pt idx="6">
                  <c:v>1.7185776125553844</c:v>
                </c:pt>
                <c:pt idx="7">
                  <c:v>0.58509834809690786</c:v>
                </c:pt>
                <c:pt idx="8">
                  <c:v>1.4720181294682102</c:v>
                </c:pt>
                <c:pt idx="9">
                  <c:v>0.7847449288809023</c:v>
                </c:pt>
                <c:pt idx="10">
                  <c:v>1.5307085945356818</c:v>
                </c:pt>
                <c:pt idx="11">
                  <c:v>1.747837659257548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6E-2A41-BF1A-9358B741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835576"/>
        <c:axId val="2095838776"/>
      </c:scatterChart>
      <c:valAx>
        <c:axId val="2095835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838776"/>
        <c:crosses val="autoZero"/>
        <c:crossBetween val="midCat"/>
      </c:valAx>
      <c:valAx>
        <c:axId val="2095838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5835576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HSP90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HSP90</c:v>
          </c:tx>
          <c:spPr>
            <a:ln w="47625">
              <a:noFill/>
            </a:ln>
          </c:spPr>
          <c:marker>
            <c:symbol val="circle"/>
            <c:size val="6"/>
            <c:spPr>
              <a:ln w="12700"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[4]Sheet1!$B$35:$B$46</c:f>
              <c:numCache>
                <c:formatCode>General</c:formatCode>
                <c:ptCount val="12"/>
                <c:pt idx="0">
                  <c:v>0.72460317626373094</c:v>
                </c:pt>
                <c:pt idx="1">
                  <c:v>1.9352859814181249</c:v>
                </c:pt>
                <c:pt idx="2">
                  <c:v>1.1943768885575354</c:v>
                </c:pt>
                <c:pt idx="3">
                  <c:v>0.46860265805267243</c:v>
                </c:pt>
                <c:pt idx="4">
                  <c:v>1.0472861262571833</c:v>
                </c:pt>
                <c:pt idx="5">
                  <c:v>0.62984516635222754</c:v>
                </c:pt>
                <c:pt idx="6">
                  <c:v>0.73575963086085983</c:v>
                </c:pt>
                <c:pt idx="7">
                  <c:v>0.54433588048033521</c:v>
                </c:pt>
                <c:pt idx="8">
                  <c:v>0.81287901543230623</c:v>
                </c:pt>
                <c:pt idx="9">
                  <c:v>0.61520579448570312</c:v>
                </c:pt>
                <c:pt idx="10">
                  <c:v>0.38432849332373592</c:v>
                </c:pt>
                <c:pt idx="11">
                  <c:v>0.67307511168381817</c:v>
                </c:pt>
              </c:numCache>
            </c:numRef>
          </c:xVal>
          <c:yVal>
            <c:numRef>
              <c:f>'Figure 7'!$G$64:$G$75</c:f>
              <c:numCache>
                <c:formatCode>General</c:formatCode>
                <c:ptCount val="12"/>
                <c:pt idx="0">
                  <c:v>0.67108729035925674</c:v>
                </c:pt>
                <c:pt idx="1">
                  <c:v>1.6223678832129527</c:v>
                </c:pt>
                <c:pt idx="2">
                  <c:v>0.71304684891659065</c:v>
                </c:pt>
                <c:pt idx="3">
                  <c:v>0.50546211711795164</c:v>
                </c:pt>
                <c:pt idx="4">
                  <c:v>1.4423441447482728</c:v>
                </c:pt>
                <c:pt idx="5">
                  <c:v>1.0456917219991526</c:v>
                </c:pt>
                <c:pt idx="6">
                  <c:v>1.7466274591621263</c:v>
                </c:pt>
                <c:pt idx="7">
                  <c:v>0.98929918101719849</c:v>
                </c:pt>
                <c:pt idx="8">
                  <c:v>1.4429185341028496</c:v>
                </c:pt>
                <c:pt idx="9">
                  <c:v>1.0237771562799645</c:v>
                </c:pt>
                <c:pt idx="10">
                  <c:v>1.2416888038476988</c:v>
                </c:pt>
                <c:pt idx="11">
                  <c:v>0.95978463656419311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9F-F74E-AED3-A1B61574F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741064"/>
        <c:axId val="2091744248"/>
      </c:scatterChart>
      <c:valAx>
        <c:axId val="2091741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1744248"/>
        <c:crosses val="autoZero"/>
        <c:crossBetween val="midCat"/>
      </c:valAx>
      <c:valAx>
        <c:axId val="2091744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91741064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NMNAT2</c:v>
          </c:tx>
          <c:spPr>
            <a:solidFill>
              <a:schemeClr val="bg1"/>
            </a:solidFill>
            <a:ln w="1905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S1'!$F$29:$F$31</c:f>
                <c:numCache>
                  <c:formatCode>General</c:formatCode>
                  <c:ptCount val="3"/>
                  <c:pt idx="0">
                    <c:v>4.0006377042686996E-2</c:v>
                  </c:pt>
                  <c:pt idx="1">
                    <c:v>6.9057509182072402E-2</c:v>
                  </c:pt>
                  <c:pt idx="2">
                    <c:v>7.6587695630327079E-2</c:v>
                  </c:pt>
                </c:numCache>
              </c:numRef>
            </c:plus>
            <c:minus>
              <c:numRef>
                <c:f>'Figure S1'!$F$29:$F$31</c:f>
                <c:numCache>
                  <c:formatCode>General</c:formatCode>
                  <c:ptCount val="3"/>
                  <c:pt idx="0">
                    <c:v>4.0006377042686996E-2</c:v>
                  </c:pt>
                  <c:pt idx="1">
                    <c:v>6.9057509182072402E-2</c:v>
                  </c:pt>
                  <c:pt idx="2">
                    <c:v>7.6587695630327079E-2</c:v>
                  </c:pt>
                </c:numCache>
              </c:numRef>
            </c:minus>
            <c:spPr>
              <a:ln w="19050">
                <a:solidFill>
                  <a:prstClr val="black"/>
                </a:solidFill>
              </a:ln>
            </c:spPr>
          </c:errBars>
          <c:cat>
            <c:strRef>
              <c:f>'Figure S1'!$C$34:$C$36</c:f>
              <c:strCache>
                <c:ptCount val="3"/>
                <c:pt idx="0">
                  <c:v>Control</c:v>
                </c:pt>
                <c:pt idx="1">
                  <c:v>NDAN</c:v>
                </c:pt>
                <c:pt idx="2">
                  <c:v>AD</c:v>
                </c:pt>
              </c:strCache>
            </c:strRef>
          </c:cat>
          <c:val>
            <c:numRef>
              <c:f>'Figure S1'!$D$29:$D$31</c:f>
              <c:numCache>
                <c:formatCode>General</c:formatCode>
                <c:ptCount val="3"/>
                <c:pt idx="0">
                  <c:v>1.0607142857142899</c:v>
                </c:pt>
                <c:pt idx="1">
                  <c:v>0.66284428247954053</c:v>
                </c:pt>
                <c:pt idx="2">
                  <c:v>0.31833756978107175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8-F043-B3AF-A688DE0DB74C}"/>
            </c:ext>
          </c:extLst>
        </c:ser>
        <c:ser>
          <c:idx val="1"/>
          <c:order val="1"/>
          <c:tx>
            <c:v>NMNAT1</c:v>
          </c:tx>
          <c:spPr>
            <a:solidFill>
              <a:schemeClr val="tx1"/>
            </a:solidFill>
            <a:ln w="19050">
              <a:solidFill>
                <a:prstClr val="black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'Figure S1'!$F$34:$F$36</c:f>
                <c:numCache>
                  <c:formatCode>General</c:formatCode>
                  <c:ptCount val="3"/>
                  <c:pt idx="0">
                    <c:v>5.5748963975609106E-2</c:v>
                  </c:pt>
                  <c:pt idx="1">
                    <c:v>0.21670844406358594</c:v>
                  </c:pt>
                  <c:pt idx="2">
                    <c:v>0.1112909379516555</c:v>
                  </c:pt>
                </c:numCache>
              </c:numRef>
            </c:plus>
            <c:minus>
              <c:numRef>
                <c:f>'Figure S1'!$F$34:$F$36</c:f>
                <c:numCache>
                  <c:formatCode>General</c:formatCode>
                  <c:ptCount val="3"/>
                  <c:pt idx="0">
                    <c:v>5.5748963975609106E-2</c:v>
                  </c:pt>
                  <c:pt idx="1">
                    <c:v>0.21670844406358594</c:v>
                  </c:pt>
                  <c:pt idx="2">
                    <c:v>0.1112909379516555</c:v>
                  </c:pt>
                </c:numCache>
              </c:numRef>
            </c:minus>
            <c:spPr>
              <a:ln w="19050">
                <a:solidFill>
                  <a:prstClr val="black"/>
                </a:solidFill>
              </a:ln>
            </c:spPr>
          </c:errBars>
          <c:cat>
            <c:strRef>
              <c:f>'Figure S1'!$C$34:$C$36</c:f>
              <c:strCache>
                <c:ptCount val="3"/>
                <c:pt idx="0">
                  <c:v>Control</c:v>
                </c:pt>
                <c:pt idx="1">
                  <c:v>NDAN</c:v>
                </c:pt>
                <c:pt idx="2">
                  <c:v>AD</c:v>
                </c:pt>
              </c:strCache>
            </c:strRef>
          </c:cat>
          <c:val>
            <c:numRef>
              <c:f>'Figure S1'!$D$34:$D$36</c:f>
              <c:numCache>
                <c:formatCode>General</c:formatCode>
                <c:ptCount val="3"/>
                <c:pt idx="0">
                  <c:v>1.0045328571428571</c:v>
                </c:pt>
                <c:pt idx="1">
                  <c:v>1.046</c:v>
                </c:pt>
                <c:pt idx="2">
                  <c:v>0.95070041875000011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8-F043-B3AF-A688DE0DB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453912"/>
        <c:axId val="2090335784"/>
      </c:barChart>
      <c:catAx>
        <c:axId val="2092453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prstClr val="black"/>
            </a:solidFill>
          </a:ln>
        </c:spPr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090335784"/>
        <c:crosses val="autoZero"/>
        <c:auto val="1"/>
        <c:lblAlgn val="ctr"/>
        <c:lblOffset val="100"/>
        <c:noMultiLvlLbl val="0"/>
      </c:catAx>
      <c:valAx>
        <c:axId val="2090335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prstClr val="black"/>
            </a:solidFill>
          </a:ln>
        </c:spPr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092453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S1'!$G$94:$G$96</c:f>
                <c:numCache>
                  <c:formatCode>General</c:formatCode>
                  <c:ptCount val="3"/>
                  <c:pt idx="0">
                    <c:v>5.338304516580733E-2</c:v>
                  </c:pt>
                  <c:pt idx="1">
                    <c:v>3.9445798684289116E-2</c:v>
                  </c:pt>
                  <c:pt idx="2">
                    <c:v>3.1192531106391513E-2</c:v>
                  </c:pt>
                </c:numCache>
              </c:numRef>
            </c:plus>
            <c:minus>
              <c:numRef>
                <c:f>'Figure S1'!$G$94:$G$96</c:f>
                <c:numCache>
                  <c:formatCode>General</c:formatCode>
                  <c:ptCount val="3"/>
                  <c:pt idx="0">
                    <c:v>5.338304516580733E-2</c:v>
                  </c:pt>
                  <c:pt idx="1">
                    <c:v>3.9445798684289116E-2</c:v>
                  </c:pt>
                  <c:pt idx="2">
                    <c:v>3.1192531106391513E-2</c:v>
                  </c:pt>
                </c:numCache>
              </c:numRef>
            </c:minus>
          </c:errBars>
          <c:cat>
            <c:strRef>
              <c:f>'Figure S1'!$B$94:$B$96</c:f>
              <c:strCache>
                <c:ptCount val="3"/>
                <c:pt idx="0">
                  <c:v>Control</c:v>
                </c:pt>
                <c:pt idx="1">
                  <c:v>NDAN</c:v>
                </c:pt>
                <c:pt idx="2">
                  <c:v>AD</c:v>
                </c:pt>
              </c:strCache>
            </c:strRef>
          </c:cat>
          <c:val>
            <c:numRef>
              <c:f>'Figure S1'!$F$94:$F$96</c:f>
              <c:numCache>
                <c:formatCode>General</c:formatCode>
                <c:ptCount val="3"/>
                <c:pt idx="0">
                  <c:v>1.0000000760065699</c:v>
                </c:pt>
                <c:pt idx="1">
                  <c:v>0.67262451138636004</c:v>
                </c:pt>
                <c:pt idx="2">
                  <c:v>0.385471538795427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2-D646-AB02-DE9F1538E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0235656"/>
        <c:axId val="2100238632"/>
      </c:barChart>
      <c:catAx>
        <c:axId val="2100235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00238632"/>
        <c:crosses val="autoZero"/>
        <c:auto val="1"/>
        <c:lblAlgn val="ctr"/>
        <c:lblOffset val="100"/>
        <c:noMultiLvlLbl val="0"/>
      </c:catAx>
      <c:valAx>
        <c:axId val="2100238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00235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 Heat Shock</c:v>
          </c:tx>
          <c:spPr>
            <a:solidFill>
              <a:srgbClr val="558ED5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[5]Sheet1!$M$22:$M$26</c:f>
                <c:numCache>
                  <c:formatCode>General</c:formatCode>
                  <c:ptCount val="5"/>
                  <c:pt idx="0">
                    <c:v>6.0425573994792078E-2</c:v>
                  </c:pt>
                  <c:pt idx="1">
                    <c:v>8.1334903728300947E-2</c:v>
                  </c:pt>
                  <c:pt idx="2">
                    <c:v>0.15192162589551206</c:v>
                  </c:pt>
                  <c:pt idx="3">
                    <c:v>0.12480801606596204</c:v>
                  </c:pt>
                  <c:pt idx="4">
                    <c:v>8.8365603033186371E-2</c:v>
                  </c:pt>
                </c:numCache>
              </c:numRef>
            </c:plus>
            <c:spPr>
              <a:ln w="3175">
                <a:solidFill>
                  <a:srgbClr val="000000"/>
                </a:solidFill>
                <a:prstDash val="solid"/>
              </a:ln>
            </c:spPr>
          </c:errBars>
          <c:cat>
            <c:strRef>
              <c:f>'Figure S2'!$A$36:$A$40</c:f>
              <c:strCache>
                <c:ptCount val="5"/>
                <c:pt idx="0">
                  <c:v>mCherry</c:v>
                </c:pt>
                <c:pt idx="1">
                  <c:v>Hsp70</c:v>
                </c:pt>
                <c:pt idx="2">
                  <c:v>NMNAT1</c:v>
                </c:pt>
                <c:pt idx="3">
                  <c:v>NMNAT2</c:v>
                </c:pt>
                <c:pt idx="4">
                  <c:v>NMNAT3</c:v>
                </c:pt>
              </c:strCache>
            </c:strRef>
          </c:cat>
          <c:val>
            <c:numRef>
              <c:f>'Figure S2'!$B$36:$B$40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C-CF4F-BCD8-02327049BDA6}"/>
            </c:ext>
          </c:extLst>
        </c:ser>
        <c:ser>
          <c:idx val="1"/>
          <c:order val="1"/>
          <c:tx>
            <c:v>Heat Shock</c:v>
          </c:tx>
          <c:spPr>
            <a:solidFill>
              <a:srgbClr val="DD080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[5]Sheet1!$O$22:$O$26</c:f>
                <c:numCache>
                  <c:formatCode>General</c:formatCode>
                  <c:ptCount val="5"/>
                  <c:pt idx="0">
                    <c:v>2.903009278751418E-3</c:v>
                  </c:pt>
                  <c:pt idx="1">
                    <c:v>2.78553011488148E-2</c:v>
                  </c:pt>
                  <c:pt idx="2">
                    <c:v>5.3833857461742157E-2</c:v>
                  </c:pt>
                  <c:pt idx="3">
                    <c:v>1.7846915244505154E-2</c:v>
                  </c:pt>
                  <c:pt idx="4">
                    <c:v>3.6147123818817094E-2</c:v>
                  </c:pt>
                </c:numCache>
              </c:numRef>
            </c:plus>
            <c:spPr>
              <a:ln w="3175">
                <a:solidFill>
                  <a:srgbClr val="000000"/>
                </a:solidFill>
                <a:prstDash val="solid"/>
              </a:ln>
            </c:spPr>
          </c:errBars>
          <c:cat>
            <c:strRef>
              <c:f>'Figure S2'!$A$36:$A$40</c:f>
              <c:strCache>
                <c:ptCount val="5"/>
                <c:pt idx="0">
                  <c:v>mCherry</c:v>
                </c:pt>
                <c:pt idx="1">
                  <c:v>Hsp70</c:v>
                </c:pt>
                <c:pt idx="2">
                  <c:v>NMNAT1</c:v>
                </c:pt>
                <c:pt idx="3">
                  <c:v>NMNAT2</c:v>
                </c:pt>
                <c:pt idx="4">
                  <c:v>NMNAT3</c:v>
                </c:pt>
              </c:strCache>
            </c:strRef>
          </c:cat>
          <c:val>
            <c:numRef>
              <c:f>'Figure S2'!$D$36:$D$40</c:f>
              <c:numCache>
                <c:formatCode>General</c:formatCode>
                <c:ptCount val="5"/>
                <c:pt idx="0">
                  <c:v>6.0179609910819332E-2</c:v>
                </c:pt>
                <c:pt idx="1">
                  <c:v>0.19501405386647597</c:v>
                </c:pt>
                <c:pt idx="2">
                  <c:v>0.19843232822319168</c:v>
                </c:pt>
                <c:pt idx="3">
                  <c:v>0.22598148429709811</c:v>
                </c:pt>
                <c:pt idx="4">
                  <c:v>0.26821770054391814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C-CF4F-BCD8-02327049BDA6}"/>
            </c:ext>
          </c:extLst>
        </c:ser>
        <c:ser>
          <c:idx val="2"/>
          <c:order val="2"/>
          <c:tx>
            <c:v>Recovery</c:v>
          </c:tx>
          <c:spPr>
            <a:solidFill>
              <a:srgbClr val="77933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[5]Sheet1!$Q$22:$Q$26</c:f>
                <c:numCache>
                  <c:formatCode>General</c:formatCode>
                  <c:ptCount val="5"/>
                  <c:pt idx="0">
                    <c:v>1.714976570418851E-2</c:v>
                  </c:pt>
                  <c:pt idx="1">
                    <c:v>4.5962601803555499E-2</c:v>
                  </c:pt>
                  <c:pt idx="2">
                    <c:v>6.913016938880201E-2</c:v>
                  </c:pt>
                  <c:pt idx="3">
                    <c:v>9.4664833036034332E-2</c:v>
                  </c:pt>
                  <c:pt idx="4">
                    <c:v>3.3826912417033214E-2</c:v>
                  </c:pt>
                </c:numCache>
              </c:numRef>
            </c:plus>
            <c:spPr>
              <a:ln w="3175">
                <a:solidFill>
                  <a:srgbClr val="000000"/>
                </a:solidFill>
                <a:prstDash val="solid"/>
              </a:ln>
            </c:spPr>
          </c:errBars>
          <c:cat>
            <c:strRef>
              <c:f>'Figure S2'!$A$36:$A$40</c:f>
              <c:strCache>
                <c:ptCount val="5"/>
                <c:pt idx="0">
                  <c:v>mCherry</c:v>
                </c:pt>
                <c:pt idx="1">
                  <c:v>Hsp70</c:v>
                </c:pt>
                <c:pt idx="2">
                  <c:v>NMNAT1</c:v>
                </c:pt>
                <c:pt idx="3">
                  <c:v>NMNAT2</c:v>
                </c:pt>
                <c:pt idx="4">
                  <c:v>NMNAT3</c:v>
                </c:pt>
              </c:strCache>
            </c:strRef>
          </c:cat>
          <c:val>
            <c:numRef>
              <c:f>'Figure S2'!$F$36:$F$40</c:f>
              <c:numCache>
                <c:formatCode>General</c:formatCode>
                <c:ptCount val="5"/>
                <c:pt idx="0">
                  <c:v>0.15335265789370864</c:v>
                </c:pt>
                <c:pt idx="1">
                  <c:v>0.66676595152505869</c:v>
                </c:pt>
                <c:pt idx="2">
                  <c:v>0.49344533967726673</c:v>
                </c:pt>
                <c:pt idx="3">
                  <c:v>0.72739127174803697</c:v>
                </c:pt>
                <c:pt idx="4">
                  <c:v>0.63620030356361956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C-CF4F-BCD8-02327049B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9136888"/>
        <c:axId val="2098486280"/>
      </c:barChart>
      <c:catAx>
        <c:axId val="2099136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one"/>
        <c:spPr>
          <a:ln w="25400">
            <a:solidFill>
              <a:srgbClr val="000000"/>
            </a:solidFill>
            <a:prstDash val="solid"/>
          </a:ln>
        </c:spPr>
        <c:crossAx val="2098486280"/>
        <c:crosses val="autoZero"/>
        <c:auto val="1"/>
        <c:lblAlgn val="ctr"/>
        <c:lblOffset val="100"/>
        <c:noMultiLvlLbl val="0"/>
      </c:catAx>
      <c:valAx>
        <c:axId val="2098486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1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209913688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NMNAT3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[6]Sheet1!$88:$88</c:f>
              <c:numCache>
                <c:formatCode>General</c:formatCode>
                <c:ptCount val="16384"/>
                <c:pt idx="0">
                  <c:v>6.1199999999999997E-2</c:v>
                </c:pt>
                <c:pt idx="1">
                  <c:v>6.1400000000000003E-2</c:v>
                </c:pt>
                <c:pt idx="2">
                  <c:v>6.1699999999999998E-2</c:v>
                </c:pt>
                <c:pt idx="3">
                  <c:v>6.4100000000000004E-2</c:v>
                </c:pt>
                <c:pt idx="4">
                  <c:v>6.8000000000000005E-2</c:v>
                </c:pt>
                <c:pt idx="5">
                  <c:v>7.0999999999999994E-2</c:v>
                </c:pt>
                <c:pt idx="6">
                  <c:v>7.5499999999999998E-2</c:v>
                </c:pt>
                <c:pt idx="7">
                  <c:v>7.9200000000000007E-2</c:v>
                </c:pt>
                <c:pt idx="8">
                  <c:v>7.9100000000000004E-2</c:v>
                </c:pt>
                <c:pt idx="9">
                  <c:v>7.9899999999999999E-2</c:v>
                </c:pt>
                <c:pt idx="10">
                  <c:v>7.8850000000000003E-2</c:v>
                </c:pt>
                <c:pt idx="11">
                  <c:v>8.4400000000000003E-2</c:v>
                </c:pt>
                <c:pt idx="12">
                  <c:v>8.5000000000000006E-2</c:v>
                </c:pt>
                <c:pt idx="13">
                  <c:v>8.3599999999999994E-2</c:v>
                </c:pt>
                <c:pt idx="14">
                  <c:v>8.7300000000000003E-2</c:v>
                </c:pt>
                <c:pt idx="15">
                  <c:v>8.924E-2</c:v>
                </c:pt>
                <c:pt idx="16">
                  <c:v>8.7480000000000002E-2</c:v>
                </c:pt>
                <c:pt idx="17">
                  <c:v>8.8499999999999995E-2</c:v>
                </c:pt>
                <c:pt idx="18">
                  <c:v>8.8700000000000001E-2</c:v>
                </c:pt>
                <c:pt idx="19">
                  <c:v>8.949E-2</c:v>
                </c:pt>
                <c:pt idx="20">
                  <c:v>9.0999999999999998E-2</c:v>
                </c:pt>
                <c:pt idx="21">
                  <c:v>9.4320000000000001E-2</c:v>
                </c:pt>
                <c:pt idx="22">
                  <c:v>9.4399999999999998E-2</c:v>
                </c:pt>
                <c:pt idx="23">
                  <c:v>0.107</c:v>
                </c:pt>
                <c:pt idx="24">
                  <c:v>0.111</c:v>
                </c:pt>
                <c:pt idx="25">
                  <c:v>0.12</c:v>
                </c:pt>
                <c:pt idx="26">
                  <c:v>0.1255</c:v>
                </c:pt>
                <c:pt idx="27">
                  <c:v>0.1396</c:v>
                </c:pt>
                <c:pt idx="28">
                  <c:v>0.13800000000000001</c:v>
                </c:pt>
                <c:pt idx="29">
                  <c:v>0.14699999999999999</c:v>
                </c:pt>
                <c:pt idx="30">
                  <c:v>0.14760000000000001</c:v>
                </c:pt>
                <c:pt idx="31">
                  <c:v>0.1489</c:v>
                </c:pt>
                <c:pt idx="32">
                  <c:v>0.1565</c:v>
                </c:pt>
                <c:pt idx="33">
                  <c:v>0.16200000000000001</c:v>
                </c:pt>
                <c:pt idx="34">
                  <c:v>0.17499999999999999</c:v>
                </c:pt>
                <c:pt idx="35">
                  <c:v>0.17949999999999999</c:v>
                </c:pt>
                <c:pt idx="36">
                  <c:v>0.186</c:v>
                </c:pt>
                <c:pt idx="37">
                  <c:v>0.191</c:v>
                </c:pt>
                <c:pt idx="38">
                  <c:v>0.20100000000000001</c:v>
                </c:pt>
                <c:pt idx="39">
                  <c:v>0.20599999999999999</c:v>
                </c:pt>
                <c:pt idx="40">
                  <c:v>0.21032000000000001</c:v>
                </c:pt>
                <c:pt idx="41">
                  <c:v>0.21299999999999999</c:v>
                </c:pt>
                <c:pt idx="42">
                  <c:v>0.21836</c:v>
                </c:pt>
                <c:pt idx="43">
                  <c:v>0.22500000000000001</c:v>
                </c:pt>
                <c:pt idx="44">
                  <c:v>0.22339999999999999</c:v>
                </c:pt>
                <c:pt idx="45">
                  <c:v>0.22939999999999999</c:v>
                </c:pt>
                <c:pt idx="46">
                  <c:v>0.2316</c:v>
                </c:pt>
                <c:pt idx="47">
                  <c:v>0.2349</c:v>
                </c:pt>
                <c:pt idx="48">
                  <c:v>0.246</c:v>
                </c:pt>
                <c:pt idx="49">
                  <c:v>0.247</c:v>
                </c:pt>
                <c:pt idx="50">
                  <c:v>0.25019999999999998</c:v>
                </c:pt>
                <c:pt idx="51">
                  <c:v>0.25700000000000001</c:v>
                </c:pt>
                <c:pt idx="52">
                  <c:v>0.26</c:v>
                </c:pt>
                <c:pt idx="53">
                  <c:v>0.26700000000000002</c:v>
                </c:pt>
                <c:pt idx="54">
                  <c:v>0.27060000000000001</c:v>
                </c:pt>
                <c:pt idx="55">
                  <c:v>0.27939999999999998</c:v>
                </c:pt>
                <c:pt idx="56">
                  <c:v>0.28199999999999997</c:v>
                </c:pt>
                <c:pt idx="57">
                  <c:v>0.28410000000000002</c:v>
                </c:pt>
                <c:pt idx="58">
                  <c:v>0.28599999999999998</c:v>
                </c:pt>
                <c:pt idx="59">
                  <c:v>0.28889999999999999</c:v>
                </c:pt>
                <c:pt idx="60">
                  <c:v>0.2843</c:v>
                </c:pt>
                <c:pt idx="61">
                  <c:v>0.29099999999999998</c:v>
                </c:pt>
                <c:pt idx="62">
                  <c:v>0.29199999999999998</c:v>
                </c:pt>
                <c:pt idx="63">
                  <c:v>0.29310000000000003</c:v>
                </c:pt>
                <c:pt idx="64">
                  <c:v>0.29310000000000003</c:v>
                </c:pt>
                <c:pt idx="65">
                  <c:v>0.29380000000000001</c:v>
                </c:pt>
                <c:pt idx="66">
                  <c:v>0.29677999999999999</c:v>
                </c:pt>
                <c:pt idx="67">
                  <c:v>0.29899999999999999</c:v>
                </c:pt>
                <c:pt idx="68">
                  <c:v>0.30399999999999999</c:v>
                </c:pt>
                <c:pt idx="69">
                  <c:v>0.30199999999999999</c:v>
                </c:pt>
                <c:pt idx="70">
                  <c:v>0.30499999999999999</c:v>
                </c:pt>
                <c:pt idx="71">
                  <c:v>0.30819999999999997</c:v>
                </c:pt>
                <c:pt idx="72">
                  <c:v>0.307</c:v>
                </c:pt>
                <c:pt idx="73">
                  <c:v>0.31</c:v>
                </c:pt>
                <c:pt idx="74">
                  <c:v>0.309</c:v>
                </c:pt>
                <c:pt idx="75">
                  <c:v>0.31140000000000001</c:v>
                </c:pt>
                <c:pt idx="76">
                  <c:v>0.312</c:v>
                </c:pt>
                <c:pt idx="77">
                  <c:v>0.312</c:v>
                </c:pt>
                <c:pt idx="78">
                  <c:v>0.313</c:v>
                </c:pt>
                <c:pt idx="79">
                  <c:v>0.312</c:v>
                </c:pt>
                <c:pt idx="80">
                  <c:v>0.314</c:v>
                </c:pt>
                <c:pt idx="81">
                  <c:v>0.315</c:v>
                </c:pt>
                <c:pt idx="82">
                  <c:v>0.316</c:v>
                </c:pt>
                <c:pt idx="83">
                  <c:v>0.31540000000000001</c:v>
                </c:pt>
                <c:pt idx="84">
                  <c:v>0.316</c:v>
                </c:pt>
                <c:pt idx="85">
                  <c:v>0.316</c:v>
                </c:pt>
                <c:pt idx="86">
                  <c:v>0.314</c:v>
                </c:pt>
                <c:pt idx="87">
                  <c:v>0.315</c:v>
                </c:pt>
                <c:pt idx="88">
                  <c:v>0.31900000000000001</c:v>
                </c:pt>
                <c:pt idx="89">
                  <c:v>0.32</c:v>
                </c:pt>
                <c:pt idx="90">
                  <c:v>0.31900000000000001</c:v>
                </c:pt>
                <c:pt idx="91">
                  <c:v>0.31559999999999999</c:v>
                </c:pt>
                <c:pt idx="92">
                  <c:v>0.31609999999999999</c:v>
                </c:pt>
                <c:pt idx="93">
                  <c:v>0.31780000000000003</c:v>
                </c:pt>
                <c:pt idx="94">
                  <c:v>0.31709999999999999</c:v>
                </c:pt>
                <c:pt idx="95">
                  <c:v>0.319936</c:v>
                </c:pt>
                <c:pt idx="96">
                  <c:v>0.32190000000000002</c:v>
                </c:pt>
                <c:pt idx="97">
                  <c:v>0.32052000000000003</c:v>
                </c:pt>
                <c:pt idx="98">
                  <c:v>0.32074999999999998</c:v>
                </c:pt>
                <c:pt idx="99">
                  <c:v>0.31969999999999998</c:v>
                </c:pt>
                <c:pt idx="100">
                  <c:v>0.31819999999999998</c:v>
                </c:pt>
                <c:pt idx="101">
                  <c:v>0.31609999999999999</c:v>
                </c:pt>
                <c:pt idx="102">
                  <c:v>0.32066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A-934A-871F-B25CE8AC1B5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558ED5"/>
              </a:solidFill>
              <a:ln>
                <a:solidFill>
                  <a:srgbClr val="FF1900"/>
                </a:solidFill>
                <a:prstDash val="solid"/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[6]Sheet1!$82:$82</c:f>
              <c:numCache>
                <c:formatCode>General</c:formatCode>
                <c:ptCount val="16384"/>
                <c:pt idx="0">
                  <c:v>7.2599999999999998E-2</c:v>
                </c:pt>
                <c:pt idx="1">
                  <c:v>7.0800000000000002E-2</c:v>
                </c:pt>
                <c:pt idx="2">
                  <c:v>7.8399999999999997E-2</c:v>
                </c:pt>
                <c:pt idx="3">
                  <c:v>6.9699999999999998E-2</c:v>
                </c:pt>
                <c:pt idx="4">
                  <c:v>7.0599999999999996E-2</c:v>
                </c:pt>
                <c:pt idx="5">
                  <c:v>7.46E-2</c:v>
                </c:pt>
                <c:pt idx="6">
                  <c:v>6.6000000000000003E-2</c:v>
                </c:pt>
                <c:pt idx="7">
                  <c:v>6.7470000000000002E-2</c:v>
                </c:pt>
                <c:pt idx="8">
                  <c:v>6.7559999999999995E-2</c:v>
                </c:pt>
                <c:pt idx="9">
                  <c:v>7.6809000000000002E-2</c:v>
                </c:pt>
                <c:pt idx="10">
                  <c:v>7.6100000000000001E-2</c:v>
                </c:pt>
                <c:pt idx="11">
                  <c:v>7.3899999999999993E-2</c:v>
                </c:pt>
                <c:pt idx="12">
                  <c:v>7.46E-2</c:v>
                </c:pt>
                <c:pt idx="13">
                  <c:v>8.4000000000000005E-2</c:v>
                </c:pt>
                <c:pt idx="14">
                  <c:v>8.6400000000000005E-2</c:v>
                </c:pt>
                <c:pt idx="15">
                  <c:v>8.3000000000000004E-2</c:v>
                </c:pt>
                <c:pt idx="16">
                  <c:v>8.7999999999999995E-2</c:v>
                </c:pt>
                <c:pt idx="17">
                  <c:v>8.9800000000000005E-2</c:v>
                </c:pt>
                <c:pt idx="18">
                  <c:v>9.1600000000000001E-2</c:v>
                </c:pt>
                <c:pt idx="19">
                  <c:v>9.1777999999999998E-2</c:v>
                </c:pt>
                <c:pt idx="20">
                  <c:v>9.1828000000000007E-2</c:v>
                </c:pt>
                <c:pt idx="21">
                  <c:v>9.2840000000000006E-2</c:v>
                </c:pt>
                <c:pt idx="22">
                  <c:v>9.3770000000000006E-2</c:v>
                </c:pt>
                <c:pt idx="23">
                  <c:v>9.3460000000000001E-2</c:v>
                </c:pt>
                <c:pt idx="24">
                  <c:v>9.4E-2</c:v>
                </c:pt>
                <c:pt idx="25">
                  <c:v>9.8100000000000007E-2</c:v>
                </c:pt>
                <c:pt idx="26">
                  <c:v>9.8000000000000004E-2</c:v>
                </c:pt>
                <c:pt idx="27">
                  <c:v>9.9835999999999994E-2</c:v>
                </c:pt>
                <c:pt idx="28">
                  <c:v>0.1037</c:v>
                </c:pt>
                <c:pt idx="29">
                  <c:v>0.10872999999999999</c:v>
                </c:pt>
                <c:pt idx="30">
                  <c:v>0.10807</c:v>
                </c:pt>
                <c:pt idx="31">
                  <c:v>0.10861999999999999</c:v>
                </c:pt>
                <c:pt idx="32">
                  <c:v>0.10865</c:v>
                </c:pt>
                <c:pt idx="33">
                  <c:v>0.10829999999999999</c:v>
                </c:pt>
                <c:pt idx="34">
                  <c:v>0.10818999999999999</c:v>
                </c:pt>
                <c:pt idx="35">
                  <c:v>0.10842</c:v>
                </c:pt>
                <c:pt idx="36">
                  <c:v>0.10920000000000001</c:v>
                </c:pt>
                <c:pt idx="37">
                  <c:v>0.10907</c:v>
                </c:pt>
                <c:pt idx="38">
                  <c:v>0.10922999999999999</c:v>
                </c:pt>
                <c:pt idx="39">
                  <c:v>0.1109</c:v>
                </c:pt>
                <c:pt idx="40">
                  <c:v>0.11236</c:v>
                </c:pt>
                <c:pt idx="41">
                  <c:v>0.11360000000000001</c:v>
                </c:pt>
                <c:pt idx="42">
                  <c:v>0.1186</c:v>
                </c:pt>
                <c:pt idx="43">
                  <c:v>0.11859</c:v>
                </c:pt>
                <c:pt idx="44">
                  <c:v>0.11856</c:v>
                </c:pt>
                <c:pt idx="45">
                  <c:v>0.11909</c:v>
                </c:pt>
                <c:pt idx="46">
                  <c:v>0.1217</c:v>
                </c:pt>
                <c:pt idx="47">
                  <c:v>0.1258</c:v>
                </c:pt>
                <c:pt idx="48">
                  <c:v>0.12911</c:v>
                </c:pt>
                <c:pt idx="49">
                  <c:v>0.12987000000000001</c:v>
                </c:pt>
                <c:pt idx="50">
                  <c:v>0.13078999999999999</c:v>
                </c:pt>
                <c:pt idx="51">
                  <c:v>0.13894000000000001</c:v>
                </c:pt>
                <c:pt idx="52">
                  <c:v>0.13966000000000001</c:v>
                </c:pt>
                <c:pt idx="53">
                  <c:v>0.14384</c:v>
                </c:pt>
                <c:pt idx="54">
                  <c:v>0.14610000000000001</c:v>
                </c:pt>
                <c:pt idx="55">
                  <c:v>0.14799999999999999</c:v>
                </c:pt>
                <c:pt idx="56">
                  <c:v>0.14899999999999999</c:v>
                </c:pt>
                <c:pt idx="57">
                  <c:v>0.15198</c:v>
                </c:pt>
                <c:pt idx="58">
                  <c:v>0.15959999999999999</c:v>
                </c:pt>
                <c:pt idx="59">
                  <c:v>0.16009999999999999</c:v>
                </c:pt>
                <c:pt idx="60">
                  <c:v>0.159</c:v>
                </c:pt>
                <c:pt idx="61">
                  <c:v>0.16241</c:v>
                </c:pt>
                <c:pt idx="62">
                  <c:v>0.16300000000000001</c:v>
                </c:pt>
                <c:pt idx="63">
                  <c:v>0.16414000000000001</c:v>
                </c:pt>
                <c:pt idx="64">
                  <c:v>0.16489999999999999</c:v>
                </c:pt>
                <c:pt idx="65">
                  <c:v>0.1633</c:v>
                </c:pt>
                <c:pt idx="66">
                  <c:v>0.16800000000000001</c:v>
                </c:pt>
                <c:pt idx="67">
                  <c:v>0.1678</c:v>
                </c:pt>
                <c:pt idx="68">
                  <c:v>0.17050000000000001</c:v>
                </c:pt>
                <c:pt idx="69">
                  <c:v>0.17082</c:v>
                </c:pt>
                <c:pt idx="70">
                  <c:v>0.17083999999999999</c:v>
                </c:pt>
                <c:pt idx="71">
                  <c:v>0.17599999999999999</c:v>
                </c:pt>
                <c:pt idx="72">
                  <c:v>0.1769</c:v>
                </c:pt>
                <c:pt idx="73">
                  <c:v>0.17085</c:v>
                </c:pt>
                <c:pt idx="74">
                  <c:v>0.1757</c:v>
                </c:pt>
                <c:pt idx="75">
                  <c:v>0.1782</c:v>
                </c:pt>
                <c:pt idx="76">
                  <c:v>0.18110000000000001</c:v>
                </c:pt>
                <c:pt idx="77">
                  <c:v>0.18107999999999999</c:v>
                </c:pt>
                <c:pt idx="78">
                  <c:v>0.18079999999999999</c:v>
                </c:pt>
                <c:pt idx="79">
                  <c:v>0.18092</c:v>
                </c:pt>
                <c:pt idx="80">
                  <c:v>0.18089</c:v>
                </c:pt>
                <c:pt idx="81">
                  <c:v>0.18106</c:v>
                </c:pt>
                <c:pt idx="82">
                  <c:v>0.18138000000000001</c:v>
                </c:pt>
                <c:pt idx="83">
                  <c:v>0.18079999999999999</c:v>
                </c:pt>
                <c:pt idx="84">
                  <c:v>0.18093000000000001</c:v>
                </c:pt>
                <c:pt idx="85">
                  <c:v>0.18106</c:v>
                </c:pt>
                <c:pt idx="86">
                  <c:v>0.19087000000000001</c:v>
                </c:pt>
                <c:pt idx="87">
                  <c:v>0.19072</c:v>
                </c:pt>
                <c:pt idx="88">
                  <c:v>0.19117000000000001</c:v>
                </c:pt>
                <c:pt idx="89">
                  <c:v>0.18909000000000001</c:v>
                </c:pt>
                <c:pt idx="90">
                  <c:v>0.18809999999999999</c:v>
                </c:pt>
                <c:pt idx="91">
                  <c:v>0.18831000000000001</c:v>
                </c:pt>
                <c:pt idx="92">
                  <c:v>0.18704999999999999</c:v>
                </c:pt>
                <c:pt idx="93">
                  <c:v>0.18847</c:v>
                </c:pt>
                <c:pt idx="94">
                  <c:v>0.18679999999999999</c:v>
                </c:pt>
                <c:pt idx="95">
                  <c:v>0.19137000000000001</c:v>
                </c:pt>
                <c:pt idx="96">
                  <c:v>0.1915</c:v>
                </c:pt>
                <c:pt idx="97">
                  <c:v>0.19142000000000001</c:v>
                </c:pt>
                <c:pt idx="98">
                  <c:v>0.19128000000000001</c:v>
                </c:pt>
                <c:pt idx="99">
                  <c:v>0.19131999999999999</c:v>
                </c:pt>
                <c:pt idx="100">
                  <c:v>0.19142999999999999</c:v>
                </c:pt>
                <c:pt idx="101">
                  <c:v>0.191</c:v>
                </c:pt>
                <c:pt idx="102">
                  <c:v>0.188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2A-934A-871F-B25CE8AC1B57}"/>
            </c:ext>
          </c:extLst>
        </c:ser>
        <c:ser>
          <c:idx val="2"/>
          <c:order val="2"/>
          <c:tx>
            <c:v>NMNAT3</c:v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[6]Sheet1!$81:$81</c:f>
              <c:numCache>
                <c:formatCode>General</c:formatCode>
                <c:ptCount val="16384"/>
                <c:pt idx="0">
                  <c:v>6.59E-2</c:v>
                </c:pt>
                <c:pt idx="1">
                  <c:v>6.0999999999999999E-2</c:v>
                </c:pt>
                <c:pt idx="2">
                  <c:v>6.8000000000000005E-2</c:v>
                </c:pt>
                <c:pt idx="3">
                  <c:v>7.1599999999999997E-2</c:v>
                </c:pt>
                <c:pt idx="4">
                  <c:v>7.2603000000000001E-2</c:v>
                </c:pt>
                <c:pt idx="5">
                  <c:v>7.3679999999999995E-2</c:v>
                </c:pt>
                <c:pt idx="6">
                  <c:v>7.6999999999999999E-2</c:v>
                </c:pt>
                <c:pt idx="7">
                  <c:v>7.6399999999999996E-2</c:v>
                </c:pt>
                <c:pt idx="8">
                  <c:v>7.639E-2</c:v>
                </c:pt>
                <c:pt idx="9">
                  <c:v>7.6850000000000002E-2</c:v>
                </c:pt>
                <c:pt idx="10">
                  <c:v>7.6340000000000005E-2</c:v>
                </c:pt>
                <c:pt idx="11">
                  <c:v>7.6660000000000006E-2</c:v>
                </c:pt>
                <c:pt idx="12">
                  <c:v>8.6540000000000006E-2</c:v>
                </c:pt>
                <c:pt idx="13">
                  <c:v>8.7800000000000003E-2</c:v>
                </c:pt>
                <c:pt idx="14">
                  <c:v>8.6730000000000002E-2</c:v>
                </c:pt>
                <c:pt idx="15">
                  <c:v>9.6769999999999995E-2</c:v>
                </c:pt>
                <c:pt idx="16">
                  <c:v>8.4599999999999995E-2</c:v>
                </c:pt>
                <c:pt idx="17">
                  <c:v>8.7120000000000003E-2</c:v>
                </c:pt>
                <c:pt idx="18">
                  <c:v>8.6499999999999994E-2</c:v>
                </c:pt>
                <c:pt idx="19">
                  <c:v>8.6730000000000002E-2</c:v>
                </c:pt>
                <c:pt idx="20">
                  <c:v>8.7120000000000003E-2</c:v>
                </c:pt>
                <c:pt idx="21">
                  <c:v>8.7359999999999993E-2</c:v>
                </c:pt>
                <c:pt idx="22">
                  <c:v>8.6940000000000003E-2</c:v>
                </c:pt>
                <c:pt idx="23">
                  <c:v>8.7639999999999996E-2</c:v>
                </c:pt>
                <c:pt idx="24">
                  <c:v>8.7309999999999999E-2</c:v>
                </c:pt>
                <c:pt idx="25">
                  <c:v>8.7620000000000003E-2</c:v>
                </c:pt>
                <c:pt idx="26">
                  <c:v>9.06E-2</c:v>
                </c:pt>
                <c:pt idx="27">
                  <c:v>9.1777999999999998E-2</c:v>
                </c:pt>
                <c:pt idx="28">
                  <c:v>9.2899999999999996E-2</c:v>
                </c:pt>
                <c:pt idx="29">
                  <c:v>9.8799999999999999E-2</c:v>
                </c:pt>
                <c:pt idx="30">
                  <c:v>9.7210000000000005E-2</c:v>
                </c:pt>
                <c:pt idx="31">
                  <c:v>9.8799999999999999E-2</c:v>
                </c:pt>
                <c:pt idx="32">
                  <c:v>9.6299999999999997E-2</c:v>
                </c:pt>
                <c:pt idx="33">
                  <c:v>9.4299999999999995E-2</c:v>
                </c:pt>
                <c:pt idx="34">
                  <c:v>0.1008</c:v>
                </c:pt>
                <c:pt idx="35">
                  <c:v>0.1052</c:v>
                </c:pt>
                <c:pt idx="36">
                  <c:v>0.111</c:v>
                </c:pt>
                <c:pt idx="37">
                  <c:v>0.11749999999999999</c:v>
                </c:pt>
                <c:pt idx="38">
                  <c:v>0.11849999999999999</c:v>
                </c:pt>
                <c:pt idx="39">
                  <c:v>0.1211</c:v>
                </c:pt>
                <c:pt idx="40">
                  <c:v>0.125</c:v>
                </c:pt>
                <c:pt idx="41">
                  <c:v>0.1298</c:v>
                </c:pt>
                <c:pt idx="42">
                  <c:v>0.1283</c:v>
                </c:pt>
                <c:pt idx="43">
                  <c:v>0.13</c:v>
                </c:pt>
                <c:pt idx="44">
                  <c:v>0.13400000000000001</c:v>
                </c:pt>
                <c:pt idx="45">
                  <c:v>0.14199999999999999</c:v>
                </c:pt>
                <c:pt idx="46">
                  <c:v>0.151</c:v>
                </c:pt>
                <c:pt idx="47">
                  <c:v>0.153</c:v>
                </c:pt>
                <c:pt idx="48">
                  <c:v>0.158</c:v>
                </c:pt>
                <c:pt idx="49">
                  <c:v>0.1598</c:v>
                </c:pt>
                <c:pt idx="50">
                  <c:v>0.16200000000000001</c:v>
                </c:pt>
                <c:pt idx="51">
                  <c:v>0.16500000000000001</c:v>
                </c:pt>
                <c:pt idx="52">
                  <c:v>0.16800000000000001</c:v>
                </c:pt>
                <c:pt idx="53">
                  <c:v>0.17100000000000001</c:v>
                </c:pt>
                <c:pt idx="54">
                  <c:v>0.17899999999999999</c:v>
                </c:pt>
                <c:pt idx="55">
                  <c:v>0.18049999999999999</c:v>
                </c:pt>
                <c:pt idx="56">
                  <c:v>0.181557</c:v>
                </c:pt>
                <c:pt idx="57">
                  <c:v>0.188</c:v>
                </c:pt>
                <c:pt idx="58">
                  <c:v>0.18690000000000001</c:v>
                </c:pt>
                <c:pt idx="59">
                  <c:v>0.18754999999999999</c:v>
                </c:pt>
                <c:pt idx="60">
                  <c:v>0.18609999999999999</c:v>
                </c:pt>
                <c:pt idx="61">
                  <c:v>0.19162000000000001</c:v>
                </c:pt>
                <c:pt idx="62">
                  <c:v>0.19209999999999999</c:v>
                </c:pt>
                <c:pt idx="63">
                  <c:v>0.19409999999999999</c:v>
                </c:pt>
                <c:pt idx="64">
                  <c:v>0.1928</c:v>
                </c:pt>
                <c:pt idx="65">
                  <c:v>0.19664999999999999</c:v>
                </c:pt>
                <c:pt idx="66">
                  <c:v>0.19614000000000001</c:v>
                </c:pt>
                <c:pt idx="67">
                  <c:v>0.19675000000000001</c:v>
                </c:pt>
                <c:pt idx="68">
                  <c:v>0.1966</c:v>
                </c:pt>
                <c:pt idx="69">
                  <c:v>0.1988</c:v>
                </c:pt>
                <c:pt idx="70">
                  <c:v>0.20100000000000001</c:v>
                </c:pt>
                <c:pt idx="71">
                  <c:v>0.20710999999999999</c:v>
                </c:pt>
                <c:pt idx="72">
                  <c:v>0.20713000000000001</c:v>
                </c:pt>
                <c:pt idx="73">
                  <c:v>0.20723</c:v>
                </c:pt>
                <c:pt idx="74">
                  <c:v>0.20759</c:v>
                </c:pt>
                <c:pt idx="75">
                  <c:v>0.21052999999999999</c:v>
                </c:pt>
                <c:pt idx="76">
                  <c:v>0.21379999999999999</c:v>
                </c:pt>
                <c:pt idx="77">
                  <c:v>0.21759000000000001</c:v>
                </c:pt>
                <c:pt idx="78">
                  <c:v>0.21751000000000001</c:v>
                </c:pt>
                <c:pt idx="79">
                  <c:v>0.21734000000000001</c:v>
                </c:pt>
                <c:pt idx="80">
                  <c:v>0.21714</c:v>
                </c:pt>
                <c:pt idx="81">
                  <c:v>0.21731</c:v>
                </c:pt>
                <c:pt idx="82">
                  <c:v>0.218</c:v>
                </c:pt>
                <c:pt idx="83">
                  <c:v>0.21718000000000001</c:v>
                </c:pt>
                <c:pt idx="84">
                  <c:v>0.21751999999999999</c:v>
                </c:pt>
                <c:pt idx="85">
                  <c:v>0.21745999999999999</c:v>
                </c:pt>
                <c:pt idx="86">
                  <c:v>0.21740999999999999</c:v>
                </c:pt>
                <c:pt idx="87">
                  <c:v>0.21767</c:v>
                </c:pt>
                <c:pt idx="88">
                  <c:v>0.21768000000000001</c:v>
                </c:pt>
                <c:pt idx="89">
                  <c:v>0.21806</c:v>
                </c:pt>
                <c:pt idx="90">
                  <c:v>0.21776999999999999</c:v>
                </c:pt>
                <c:pt idx="91">
                  <c:v>0.21789</c:v>
                </c:pt>
                <c:pt idx="92">
                  <c:v>0.21770999999999999</c:v>
                </c:pt>
                <c:pt idx="93">
                  <c:v>0.21812999999999999</c:v>
                </c:pt>
                <c:pt idx="94">
                  <c:v>0.21790000000000001</c:v>
                </c:pt>
                <c:pt idx="95">
                  <c:v>0.21795</c:v>
                </c:pt>
                <c:pt idx="96">
                  <c:v>0.21798999999999999</c:v>
                </c:pt>
                <c:pt idx="97">
                  <c:v>0.21831</c:v>
                </c:pt>
                <c:pt idx="98">
                  <c:v>0.21826999999999999</c:v>
                </c:pt>
                <c:pt idx="99">
                  <c:v>0.21833</c:v>
                </c:pt>
                <c:pt idx="100">
                  <c:v>0.219</c:v>
                </c:pt>
                <c:pt idx="101">
                  <c:v>0.219</c:v>
                </c:pt>
                <c:pt idx="102">
                  <c:v>0.2276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2A-934A-871F-B25CE8AC1B57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984807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[6]Sheet1!$80:$80</c:f>
              <c:numCache>
                <c:formatCode>General</c:formatCode>
                <c:ptCount val="16384"/>
                <c:pt idx="0">
                  <c:v>6.8000000000000005E-2</c:v>
                </c:pt>
                <c:pt idx="1">
                  <c:v>6.7599999999999993E-2</c:v>
                </c:pt>
                <c:pt idx="2">
                  <c:v>6.6699999999999995E-2</c:v>
                </c:pt>
                <c:pt idx="3">
                  <c:v>6.8500000000000005E-2</c:v>
                </c:pt>
                <c:pt idx="4">
                  <c:v>6.8489999999999995E-2</c:v>
                </c:pt>
                <c:pt idx="5">
                  <c:v>6.93E-2</c:v>
                </c:pt>
                <c:pt idx="6">
                  <c:v>6.7699999999999996E-2</c:v>
                </c:pt>
                <c:pt idx="7">
                  <c:v>7.9200000000000007E-2</c:v>
                </c:pt>
                <c:pt idx="8">
                  <c:v>7.8899999999999998E-2</c:v>
                </c:pt>
                <c:pt idx="9">
                  <c:v>7.9500000000000001E-2</c:v>
                </c:pt>
                <c:pt idx="10">
                  <c:v>7.8299999999999995E-2</c:v>
                </c:pt>
                <c:pt idx="11">
                  <c:v>7.8140000000000001E-2</c:v>
                </c:pt>
                <c:pt idx="12">
                  <c:v>7.8134999999999996E-2</c:v>
                </c:pt>
                <c:pt idx="13">
                  <c:v>7.8126000000000001E-2</c:v>
                </c:pt>
                <c:pt idx="14">
                  <c:v>7.9162999999999997E-2</c:v>
                </c:pt>
                <c:pt idx="15">
                  <c:v>7.9124E-2</c:v>
                </c:pt>
                <c:pt idx="16">
                  <c:v>7.9147999999999996E-2</c:v>
                </c:pt>
                <c:pt idx="17">
                  <c:v>7.9235E-2</c:v>
                </c:pt>
                <c:pt idx="18">
                  <c:v>7.8700000000000006E-2</c:v>
                </c:pt>
                <c:pt idx="19">
                  <c:v>7.9249E-2</c:v>
                </c:pt>
                <c:pt idx="20">
                  <c:v>7.9228809999999997E-2</c:v>
                </c:pt>
                <c:pt idx="21">
                  <c:v>8.2299999999999998E-2</c:v>
                </c:pt>
                <c:pt idx="22">
                  <c:v>8.2400000000000001E-2</c:v>
                </c:pt>
                <c:pt idx="23">
                  <c:v>8.1699999999999995E-2</c:v>
                </c:pt>
                <c:pt idx="24">
                  <c:v>8.4029999999999994E-2</c:v>
                </c:pt>
                <c:pt idx="25">
                  <c:v>8.5313200000000006E-2</c:v>
                </c:pt>
                <c:pt idx="26">
                  <c:v>8.5500000000000007E-2</c:v>
                </c:pt>
                <c:pt idx="27">
                  <c:v>8.9599999999999999E-2</c:v>
                </c:pt>
                <c:pt idx="28">
                  <c:v>9.1800000000000007E-2</c:v>
                </c:pt>
                <c:pt idx="29">
                  <c:v>9.8570000000000005E-2</c:v>
                </c:pt>
                <c:pt idx="30">
                  <c:v>9.7500000000000003E-2</c:v>
                </c:pt>
                <c:pt idx="31">
                  <c:v>0.1089</c:v>
                </c:pt>
                <c:pt idx="32">
                  <c:v>0.1109</c:v>
                </c:pt>
                <c:pt idx="33">
                  <c:v>0.11990000000000001</c:v>
                </c:pt>
                <c:pt idx="34">
                  <c:v>0.1182</c:v>
                </c:pt>
                <c:pt idx="35">
                  <c:v>0.125</c:v>
                </c:pt>
                <c:pt idx="36">
                  <c:v>0.12659999999999999</c:v>
                </c:pt>
                <c:pt idx="37">
                  <c:v>0.12809999999999999</c:v>
                </c:pt>
                <c:pt idx="38">
                  <c:v>0.13800000000000001</c:v>
                </c:pt>
                <c:pt idx="39">
                  <c:v>0.1426</c:v>
                </c:pt>
                <c:pt idx="40">
                  <c:v>0.14332</c:v>
                </c:pt>
                <c:pt idx="41">
                  <c:v>0.14430000000000001</c:v>
                </c:pt>
                <c:pt idx="42">
                  <c:v>0.15160000000000001</c:v>
                </c:pt>
                <c:pt idx="43">
                  <c:v>0.159</c:v>
                </c:pt>
                <c:pt idx="44">
                  <c:v>0.16539999999999999</c:v>
                </c:pt>
                <c:pt idx="45">
                  <c:v>0.16974</c:v>
                </c:pt>
                <c:pt idx="46">
                  <c:v>0.172926</c:v>
                </c:pt>
                <c:pt idx="47">
                  <c:v>0.17299999999999999</c:v>
                </c:pt>
                <c:pt idx="48">
                  <c:v>0.186</c:v>
                </c:pt>
                <c:pt idx="49">
                  <c:v>0.192</c:v>
                </c:pt>
                <c:pt idx="50">
                  <c:v>0.19800000000000001</c:v>
                </c:pt>
                <c:pt idx="51">
                  <c:v>0.1981</c:v>
                </c:pt>
                <c:pt idx="52">
                  <c:v>0.1983</c:v>
                </c:pt>
                <c:pt idx="53">
                  <c:v>0.20399999999999999</c:v>
                </c:pt>
                <c:pt idx="54">
                  <c:v>0.20899999999999999</c:v>
                </c:pt>
                <c:pt idx="55">
                  <c:v>0.21093999999999999</c:v>
                </c:pt>
                <c:pt idx="56">
                  <c:v>0.22600000000000001</c:v>
                </c:pt>
                <c:pt idx="57">
                  <c:v>0.21959999999999999</c:v>
                </c:pt>
                <c:pt idx="58">
                  <c:v>0.22989999999999999</c:v>
                </c:pt>
                <c:pt idx="59">
                  <c:v>0.22900999999999999</c:v>
                </c:pt>
                <c:pt idx="60">
                  <c:v>0.2293</c:v>
                </c:pt>
                <c:pt idx="61">
                  <c:v>0.2306</c:v>
                </c:pt>
                <c:pt idx="62">
                  <c:v>0.23200000000000001</c:v>
                </c:pt>
                <c:pt idx="63">
                  <c:v>0.2351</c:v>
                </c:pt>
                <c:pt idx="64">
                  <c:v>0.23699999999999999</c:v>
                </c:pt>
                <c:pt idx="65">
                  <c:v>0.24138000000000001</c:v>
                </c:pt>
                <c:pt idx="66">
                  <c:v>0.24298</c:v>
                </c:pt>
                <c:pt idx="67">
                  <c:v>0.24229999999999999</c:v>
                </c:pt>
                <c:pt idx="68">
                  <c:v>0.247</c:v>
                </c:pt>
                <c:pt idx="69">
                  <c:v>0.24812000000000001</c:v>
                </c:pt>
                <c:pt idx="70">
                  <c:v>0.2505</c:v>
                </c:pt>
                <c:pt idx="71">
                  <c:v>0.25119999999999998</c:v>
                </c:pt>
                <c:pt idx="72">
                  <c:v>0.25328400000000001</c:v>
                </c:pt>
                <c:pt idx="73">
                  <c:v>0.25340000000000001</c:v>
                </c:pt>
                <c:pt idx="74">
                  <c:v>0.25635599999999997</c:v>
                </c:pt>
                <c:pt idx="75">
                  <c:v>0.25700000000000001</c:v>
                </c:pt>
                <c:pt idx="76">
                  <c:v>0.25900000000000001</c:v>
                </c:pt>
                <c:pt idx="77">
                  <c:v>0.26100000000000001</c:v>
                </c:pt>
                <c:pt idx="78">
                  <c:v>0.26279999999999998</c:v>
                </c:pt>
                <c:pt idx="79">
                  <c:v>0.26434999999999997</c:v>
                </c:pt>
                <c:pt idx="80">
                  <c:v>0.26440000000000002</c:v>
                </c:pt>
                <c:pt idx="81">
                  <c:v>0.26490000000000002</c:v>
                </c:pt>
                <c:pt idx="82">
                  <c:v>0.26400000000000001</c:v>
                </c:pt>
                <c:pt idx="83">
                  <c:v>0.26643</c:v>
                </c:pt>
                <c:pt idx="84">
                  <c:v>0.27100000000000002</c:v>
                </c:pt>
                <c:pt idx="85">
                  <c:v>0.27250000000000002</c:v>
                </c:pt>
                <c:pt idx="86">
                  <c:v>0.27300000000000002</c:v>
                </c:pt>
                <c:pt idx="87">
                  <c:v>0.27260000000000001</c:v>
                </c:pt>
                <c:pt idx="88">
                  <c:v>0.27150000000000002</c:v>
                </c:pt>
                <c:pt idx="89">
                  <c:v>0.26900000000000002</c:v>
                </c:pt>
                <c:pt idx="90">
                  <c:v>0.26850000000000002</c:v>
                </c:pt>
                <c:pt idx="91">
                  <c:v>0.26979999999999998</c:v>
                </c:pt>
                <c:pt idx="92">
                  <c:v>0.26700000000000002</c:v>
                </c:pt>
                <c:pt idx="93">
                  <c:v>0.26900000000000002</c:v>
                </c:pt>
                <c:pt idx="94">
                  <c:v>0.26950000000000002</c:v>
                </c:pt>
                <c:pt idx="95">
                  <c:v>0.27</c:v>
                </c:pt>
                <c:pt idx="96">
                  <c:v>0.27200000000000002</c:v>
                </c:pt>
                <c:pt idx="97">
                  <c:v>0.27200000000000002</c:v>
                </c:pt>
                <c:pt idx="98">
                  <c:v>0.27300000000000002</c:v>
                </c:pt>
                <c:pt idx="99">
                  <c:v>0.27400000000000002</c:v>
                </c:pt>
                <c:pt idx="100">
                  <c:v>0.27200000000000002</c:v>
                </c:pt>
                <c:pt idx="101">
                  <c:v>0.27900000000000003</c:v>
                </c:pt>
                <c:pt idx="102">
                  <c:v>0.27900000000000003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2A-934A-871F-B25CE8AC1B57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FF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[6]Sheet1!$77:$77</c:f>
              <c:numCache>
                <c:formatCode>General</c:formatCode>
                <c:ptCount val="16384"/>
                <c:pt idx="0">
                  <c:v>6.7199999999999996E-2</c:v>
                </c:pt>
                <c:pt idx="1">
                  <c:v>6.5000000000000002E-2</c:v>
                </c:pt>
                <c:pt idx="2">
                  <c:v>6.6699999999999995E-2</c:v>
                </c:pt>
                <c:pt idx="3">
                  <c:v>6.8000000000000005E-2</c:v>
                </c:pt>
                <c:pt idx="4">
                  <c:v>7.0999999999999994E-2</c:v>
                </c:pt>
                <c:pt idx="5">
                  <c:v>7.5300000000000006E-2</c:v>
                </c:pt>
                <c:pt idx="6">
                  <c:v>7.8E-2</c:v>
                </c:pt>
                <c:pt idx="7">
                  <c:v>7.9000000000000001E-2</c:v>
                </c:pt>
                <c:pt idx="8">
                  <c:v>7.8100000000000003E-2</c:v>
                </c:pt>
                <c:pt idx="9">
                  <c:v>8.1799999999999998E-2</c:v>
                </c:pt>
                <c:pt idx="10">
                  <c:v>7.8100000000000003E-2</c:v>
                </c:pt>
                <c:pt idx="11">
                  <c:v>7.9000000000000001E-2</c:v>
                </c:pt>
                <c:pt idx="12">
                  <c:v>7.85E-2</c:v>
                </c:pt>
                <c:pt idx="13">
                  <c:v>7.8600000000000003E-2</c:v>
                </c:pt>
                <c:pt idx="14">
                  <c:v>7.7299999999999994E-2</c:v>
                </c:pt>
                <c:pt idx="15">
                  <c:v>8.2400000000000001E-2</c:v>
                </c:pt>
                <c:pt idx="16">
                  <c:v>8.1100000000000005E-2</c:v>
                </c:pt>
                <c:pt idx="17">
                  <c:v>8.1000000000000003E-2</c:v>
                </c:pt>
                <c:pt idx="18">
                  <c:v>8.2699999999999996E-2</c:v>
                </c:pt>
                <c:pt idx="19">
                  <c:v>8.2489999999999994E-2</c:v>
                </c:pt>
                <c:pt idx="20">
                  <c:v>8.1809999999999994E-2</c:v>
                </c:pt>
                <c:pt idx="21">
                  <c:v>8.3199999999999996E-2</c:v>
                </c:pt>
                <c:pt idx="22">
                  <c:v>8.2400000000000001E-2</c:v>
                </c:pt>
                <c:pt idx="23">
                  <c:v>8.3699999999999997E-2</c:v>
                </c:pt>
                <c:pt idx="24">
                  <c:v>8.1030000000000005E-2</c:v>
                </c:pt>
                <c:pt idx="25">
                  <c:v>9.3200000000000005E-2</c:v>
                </c:pt>
                <c:pt idx="26">
                  <c:v>9.8100000000000007E-2</c:v>
                </c:pt>
                <c:pt idx="27">
                  <c:v>0.1096</c:v>
                </c:pt>
                <c:pt idx="28">
                  <c:v>0.1128</c:v>
                </c:pt>
                <c:pt idx="29">
                  <c:v>0.11347</c:v>
                </c:pt>
                <c:pt idx="30">
                  <c:v>0.11876</c:v>
                </c:pt>
                <c:pt idx="31">
                  <c:v>0.12189</c:v>
                </c:pt>
                <c:pt idx="32">
                  <c:v>0.128</c:v>
                </c:pt>
                <c:pt idx="33">
                  <c:v>0.13600000000000001</c:v>
                </c:pt>
                <c:pt idx="34">
                  <c:v>0.13800000000000001</c:v>
                </c:pt>
                <c:pt idx="35">
                  <c:v>0.14499999999999999</c:v>
                </c:pt>
                <c:pt idx="36">
                  <c:v>0.14760000000000001</c:v>
                </c:pt>
                <c:pt idx="37">
                  <c:v>0.151</c:v>
                </c:pt>
                <c:pt idx="38">
                  <c:v>0.16139999999999999</c:v>
                </c:pt>
                <c:pt idx="39">
                  <c:v>0.16600000000000001</c:v>
                </c:pt>
                <c:pt idx="40">
                  <c:v>0.17199999999999999</c:v>
                </c:pt>
                <c:pt idx="41">
                  <c:v>0.17530000000000001</c:v>
                </c:pt>
                <c:pt idx="42">
                  <c:v>0.186</c:v>
                </c:pt>
                <c:pt idx="43">
                  <c:v>0.185</c:v>
                </c:pt>
                <c:pt idx="44">
                  <c:v>0.188</c:v>
                </c:pt>
                <c:pt idx="45">
                  <c:v>0.19400000000000001</c:v>
                </c:pt>
                <c:pt idx="46">
                  <c:v>0.20599999999999999</c:v>
                </c:pt>
                <c:pt idx="47">
                  <c:v>0.20499999999999999</c:v>
                </c:pt>
                <c:pt idx="48">
                  <c:v>0.2109</c:v>
                </c:pt>
                <c:pt idx="49">
                  <c:v>0.21199999999999999</c:v>
                </c:pt>
                <c:pt idx="50">
                  <c:v>0.22020000000000001</c:v>
                </c:pt>
                <c:pt idx="51">
                  <c:v>0.22370000000000001</c:v>
                </c:pt>
                <c:pt idx="52">
                  <c:v>0.22639999999999999</c:v>
                </c:pt>
                <c:pt idx="53">
                  <c:v>0.23699999999999999</c:v>
                </c:pt>
                <c:pt idx="54">
                  <c:v>0.24506</c:v>
                </c:pt>
                <c:pt idx="55">
                  <c:v>0.24940000000000001</c:v>
                </c:pt>
                <c:pt idx="56">
                  <c:v>0.248</c:v>
                </c:pt>
                <c:pt idx="57">
                  <c:v>0.24510000000000001</c:v>
                </c:pt>
                <c:pt idx="58">
                  <c:v>0.24959999999999999</c:v>
                </c:pt>
                <c:pt idx="59">
                  <c:v>0.25189</c:v>
                </c:pt>
                <c:pt idx="60">
                  <c:v>0.25642999999999999</c:v>
                </c:pt>
                <c:pt idx="61">
                  <c:v>0.26479999999999998</c:v>
                </c:pt>
                <c:pt idx="62">
                  <c:v>0.26819999999999999</c:v>
                </c:pt>
                <c:pt idx="63">
                  <c:v>0.2671</c:v>
                </c:pt>
                <c:pt idx="64">
                  <c:v>0.26910000000000001</c:v>
                </c:pt>
                <c:pt idx="65">
                  <c:v>0.27379999999999999</c:v>
                </c:pt>
                <c:pt idx="66">
                  <c:v>0.27198</c:v>
                </c:pt>
                <c:pt idx="67">
                  <c:v>0.27289999999999998</c:v>
                </c:pt>
                <c:pt idx="68">
                  <c:v>0.27439999999999998</c:v>
                </c:pt>
                <c:pt idx="69">
                  <c:v>0.2762</c:v>
                </c:pt>
                <c:pt idx="70">
                  <c:v>0.27834999999999999</c:v>
                </c:pt>
                <c:pt idx="71">
                  <c:v>0.27861999999999998</c:v>
                </c:pt>
                <c:pt idx="72">
                  <c:v>0.27883999999999998</c:v>
                </c:pt>
                <c:pt idx="73">
                  <c:v>0.27904000000000001</c:v>
                </c:pt>
                <c:pt idx="74">
                  <c:v>0.28060000000000002</c:v>
                </c:pt>
                <c:pt idx="75">
                  <c:v>0.28399999999999997</c:v>
                </c:pt>
                <c:pt idx="76">
                  <c:v>0.28703000000000001</c:v>
                </c:pt>
                <c:pt idx="77">
                  <c:v>0.28799999999999998</c:v>
                </c:pt>
                <c:pt idx="78">
                  <c:v>0.2908</c:v>
                </c:pt>
                <c:pt idx="79">
                  <c:v>0.29139999999999999</c:v>
                </c:pt>
                <c:pt idx="80">
                  <c:v>0.28739999999999999</c:v>
                </c:pt>
                <c:pt idx="81">
                  <c:v>0.29065999999999997</c:v>
                </c:pt>
                <c:pt idx="82">
                  <c:v>0.29049999999999998</c:v>
                </c:pt>
                <c:pt idx="83">
                  <c:v>0.29054000000000002</c:v>
                </c:pt>
                <c:pt idx="84">
                  <c:v>0.2908</c:v>
                </c:pt>
                <c:pt idx="85">
                  <c:v>0.28999999999999998</c:v>
                </c:pt>
                <c:pt idx="86">
                  <c:v>0.29099999999999998</c:v>
                </c:pt>
                <c:pt idx="87">
                  <c:v>0.29239999999999999</c:v>
                </c:pt>
                <c:pt idx="88">
                  <c:v>0.29199999999999998</c:v>
                </c:pt>
                <c:pt idx="89">
                  <c:v>0.29199999999999998</c:v>
                </c:pt>
                <c:pt idx="90">
                  <c:v>0.29299999999999998</c:v>
                </c:pt>
                <c:pt idx="91">
                  <c:v>0.29299999999999998</c:v>
                </c:pt>
                <c:pt idx="92">
                  <c:v>0.29360000000000003</c:v>
                </c:pt>
                <c:pt idx="93">
                  <c:v>0.29399999999999998</c:v>
                </c:pt>
                <c:pt idx="94">
                  <c:v>0.29599999999999999</c:v>
                </c:pt>
                <c:pt idx="95">
                  <c:v>0.29499999999999998</c:v>
                </c:pt>
                <c:pt idx="96">
                  <c:v>0.29699999999999999</c:v>
                </c:pt>
                <c:pt idx="97">
                  <c:v>0.29699999999999999</c:v>
                </c:pt>
                <c:pt idx="98">
                  <c:v>0.29749999999999999</c:v>
                </c:pt>
                <c:pt idx="99">
                  <c:v>0.29699999999999999</c:v>
                </c:pt>
                <c:pt idx="100">
                  <c:v>0.29781999999999997</c:v>
                </c:pt>
                <c:pt idx="101">
                  <c:v>0.29860999999999999</c:v>
                </c:pt>
                <c:pt idx="102">
                  <c:v>0.29765999999999998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2A-934A-871F-B25CE8AC1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384728"/>
        <c:axId val="2088197512"/>
      </c:scatterChart>
      <c:valAx>
        <c:axId val="2088384728"/>
        <c:scaling>
          <c:orientation val="minMax"/>
          <c:max val="1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8197512"/>
        <c:crosses val="autoZero"/>
        <c:crossBetween val="midCat"/>
      </c:valAx>
      <c:valAx>
        <c:axId val="2088197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88384728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HSP70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083333333333"/>
          <c:y val="3.5971223021582698E-2"/>
          <c:w val="0.83333333333333304"/>
          <c:h val="0.848920863309353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00B0F0"/>
              </a:solidFill>
              <a:ln>
                <a:solidFill>
                  <a:srgbClr val="FF1900"/>
                </a:solidFill>
                <a:prstDash val="solid"/>
              </a:ln>
            </c:spPr>
          </c:marker>
          <c:xVal>
            <c:numRef>
              <c:f>[6]Sheet1!$A$69:$DB$69</c:f>
              <c:numCache>
                <c:formatCode>General</c:formatCode>
                <c:ptCount val="106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[6]Sheet1!$A$70:$DB$70</c:f>
              <c:numCache>
                <c:formatCode>General</c:formatCode>
                <c:ptCount val="106"/>
                <c:pt idx="0">
                  <c:v>8.2600000000000007E-2</c:v>
                </c:pt>
                <c:pt idx="1">
                  <c:v>7.0800000000000002E-2</c:v>
                </c:pt>
                <c:pt idx="2">
                  <c:v>7.4399999999999994E-2</c:v>
                </c:pt>
                <c:pt idx="3">
                  <c:v>6.7699999999999996E-2</c:v>
                </c:pt>
                <c:pt idx="4">
                  <c:v>7.0599999999999996E-2</c:v>
                </c:pt>
                <c:pt idx="5">
                  <c:v>7.46E-2</c:v>
                </c:pt>
                <c:pt idx="6">
                  <c:v>7.9600000000000004E-2</c:v>
                </c:pt>
                <c:pt idx="7">
                  <c:v>7.4700000000000003E-2</c:v>
                </c:pt>
                <c:pt idx="8">
                  <c:v>7.5600000000000001E-2</c:v>
                </c:pt>
                <c:pt idx="9">
                  <c:v>8.09E-2</c:v>
                </c:pt>
                <c:pt idx="10">
                  <c:v>7.6100000000000001E-2</c:v>
                </c:pt>
                <c:pt idx="11">
                  <c:v>7.3899999999999993E-2</c:v>
                </c:pt>
                <c:pt idx="12">
                  <c:v>7.46E-2</c:v>
                </c:pt>
                <c:pt idx="13">
                  <c:v>7.4399999999999994E-2</c:v>
                </c:pt>
                <c:pt idx="14">
                  <c:v>7.6399999999999996E-2</c:v>
                </c:pt>
                <c:pt idx="15">
                  <c:v>8.3000000000000004E-2</c:v>
                </c:pt>
                <c:pt idx="16">
                  <c:v>7.8E-2</c:v>
                </c:pt>
                <c:pt idx="17">
                  <c:v>8.1799999999999998E-2</c:v>
                </c:pt>
                <c:pt idx="18">
                  <c:v>7.5999999999999998E-2</c:v>
                </c:pt>
                <c:pt idx="19">
                  <c:v>7.7799999999999994E-2</c:v>
                </c:pt>
                <c:pt idx="20">
                  <c:v>8.2799999999999999E-2</c:v>
                </c:pt>
                <c:pt idx="21">
                  <c:v>8.4000000000000005E-2</c:v>
                </c:pt>
                <c:pt idx="22">
                  <c:v>7.6999999999999999E-2</c:v>
                </c:pt>
                <c:pt idx="23">
                  <c:v>8.4599999999999995E-2</c:v>
                </c:pt>
                <c:pt idx="24">
                  <c:v>7.9399999999999998E-2</c:v>
                </c:pt>
                <c:pt idx="25">
                  <c:v>8.1000000000000003E-2</c:v>
                </c:pt>
                <c:pt idx="26">
                  <c:v>7.9799999999999996E-2</c:v>
                </c:pt>
                <c:pt idx="27">
                  <c:v>8.3599999999999994E-2</c:v>
                </c:pt>
                <c:pt idx="28">
                  <c:v>8.3699999999999997E-2</c:v>
                </c:pt>
                <c:pt idx="29">
                  <c:v>8.7300000000000003E-2</c:v>
                </c:pt>
                <c:pt idx="30">
                  <c:v>8.0699999999999994E-2</c:v>
                </c:pt>
                <c:pt idx="31">
                  <c:v>8.6199999999999999E-2</c:v>
                </c:pt>
                <c:pt idx="32">
                  <c:v>8.6499999999999994E-2</c:v>
                </c:pt>
                <c:pt idx="33">
                  <c:v>8.3000000000000004E-2</c:v>
                </c:pt>
                <c:pt idx="34">
                  <c:v>8.1900000000000001E-2</c:v>
                </c:pt>
                <c:pt idx="35">
                  <c:v>8.4199999999999997E-2</c:v>
                </c:pt>
                <c:pt idx="36">
                  <c:v>9.1999999999999998E-2</c:v>
                </c:pt>
                <c:pt idx="37">
                  <c:v>9.0700000000000003E-2</c:v>
                </c:pt>
                <c:pt idx="38">
                  <c:v>9.2299999999999993E-2</c:v>
                </c:pt>
                <c:pt idx="39">
                  <c:v>0.09</c:v>
                </c:pt>
                <c:pt idx="40">
                  <c:v>8.3599999999999994E-2</c:v>
                </c:pt>
                <c:pt idx="41">
                  <c:v>8.6599999999999996E-2</c:v>
                </c:pt>
                <c:pt idx="42">
                  <c:v>8.5999999999999993E-2</c:v>
                </c:pt>
                <c:pt idx="43">
                  <c:v>8.5900000000000004E-2</c:v>
                </c:pt>
                <c:pt idx="44">
                  <c:v>8.5599999999999996E-2</c:v>
                </c:pt>
                <c:pt idx="45">
                  <c:v>9.0899999999999995E-2</c:v>
                </c:pt>
                <c:pt idx="46">
                  <c:v>9.1700000000000004E-2</c:v>
                </c:pt>
                <c:pt idx="47">
                  <c:v>9.6799999999999997E-2</c:v>
                </c:pt>
                <c:pt idx="48">
                  <c:v>9.11E-2</c:v>
                </c:pt>
                <c:pt idx="49">
                  <c:v>9.8699999999999996E-2</c:v>
                </c:pt>
                <c:pt idx="50">
                  <c:v>9.7900000000000001E-2</c:v>
                </c:pt>
                <c:pt idx="51">
                  <c:v>8.9399999999999993E-2</c:v>
                </c:pt>
                <c:pt idx="52">
                  <c:v>9.6600000000000005E-2</c:v>
                </c:pt>
                <c:pt idx="53">
                  <c:v>9.8400000000000001E-2</c:v>
                </c:pt>
                <c:pt idx="54">
                  <c:v>9.6100000000000005E-2</c:v>
                </c:pt>
                <c:pt idx="55">
                  <c:v>9.4600000000000004E-2</c:v>
                </c:pt>
                <c:pt idx="56">
                  <c:v>0.1004</c:v>
                </c:pt>
                <c:pt idx="57">
                  <c:v>9.98E-2</c:v>
                </c:pt>
                <c:pt idx="58">
                  <c:v>9.9599999999999994E-2</c:v>
                </c:pt>
                <c:pt idx="59">
                  <c:v>0.10009999999999999</c:v>
                </c:pt>
                <c:pt idx="60">
                  <c:v>0.10150000000000001</c:v>
                </c:pt>
                <c:pt idx="61">
                  <c:v>0.1041</c:v>
                </c:pt>
                <c:pt idx="62">
                  <c:v>0.1024</c:v>
                </c:pt>
                <c:pt idx="63">
                  <c:v>0.1014</c:v>
                </c:pt>
                <c:pt idx="64">
                  <c:v>0.10489999999999999</c:v>
                </c:pt>
                <c:pt idx="65">
                  <c:v>0.1033</c:v>
                </c:pt>
                <c:pt idx="66">
                  <c:v>9.7799999999999998E-2</c:v>
                </c:pt>
                <c:pt idx="67">
                  <c:v>0.10780000000000001</c:v>
                </c:pt>
                <c:pt idx="68">
                  <c:v>9.9500000000000005E-2</c:v>
                </c:pt>
                <c:pt idx="69">
                  <c:v>0.1082</c:v>
                </c:pt>
                <c:pt idx="70">
                  <c:v>0.1084</c:v>
                </c:pt>
                <c:pt idx="71">
                  <c:v>0.1076</c:v>
                </c:pt>
                <c:pt idx="72">
                  <c:v>0.1089</c:v>
                </c:pt>
                <c:pt idx="73">
                  <c:v>0.1085</c:v>
                </c:pt>
                <c:pt idx="74">
                  <c:v>0.1057</c:v>
                </c:pt>
                <c:pt idx="75">
                  <c:v>0.1082</c:v>
                </c:pt>
                <c:pt idx="76">
                  <c:v>0.1111</c:v>
                </c:pt>
                <c:pt idx="77">
                  <c:v>0.1108</c:v>
                </c:pt>
                <c:pt idx="78">
                  <c:v>0.108</c:v>
                </c:pt>
                <c:pt idx="79">
                  <c:v>0.10920000000000001</c:v>
                </c:pt>
                <c:pt idx="80">
                  <c:v>0.1089</c:v>
                </c:pt>
                <c:pt idx="81">
                  <c:v>0.1106</c:v>
                </c:pt>
                <c:pt idx="82">
                  <c:v>0.1138</c:v>
                </c:pt>
                <c:pt idx="83">
                  <c:v>0.108</c:v>
                </c:pt>
                <c:pt idx="84">
                  <c:v>0.10929999999999999</c:v>
                </c:pt>
                <c:pt idx="85">
                  <c:v>0.1106</c:v>
                </c:pt>
                <c:pt idx="86">
                  <c:v>0.1087</c:v>
                </c:pt>
                <c:pt idx="87">
                  <c:v>0.1072</c:v>
                </c:pt>
                <c:pt idx="88">
                  <c:v>0.11169999999999999</c:v>
                </c:pt>
                <c:pt idx="89">
                  <c:v>0.1109</c:v>
                </c:pt>
                <c:pt idx="90">
                  <c:v>0.11210000000000001</c:v>
                </c:pt>
                <c:pt idx="91">
                  <c:v>0.11310000000000001</c:v>
                </c:pt>
                <c:pt idx="92">
                  <c:v>0.1105</c:v>
                </c:pt>
                <c:pt idx="93">
                  <c:v>0.1147</c:v>
                </c:pt>
                <c:pt idx="94">
                  <c:v>0.1168</c:v>
                </c:pt>
                <c:pt idx="95">
                  <c:v>0.1137</c:v>
                </c:pt>
                <c:pt idx="96">
                  <c:v>0.115</c:v>
                </c:pt>
                <c:pt idx="97">
                  <c:v>0.1142</c:v>
                </c:pt>
                <c:pt idx="98">
                  <c:v>0.1128</c:v>
                </c:pt>
                <c:pt idx="99">
                  <c:v>0.1132</c:v>
                </c:pt>
                <c:pt idx="100">
                  <c:v>0.1143</c:v>
                </c:pt>
                <c:pt idx="101">
                  <c:v>0.1091</c:v>
                </c:pt>
                <c:pt idx="102">
                  <c:v>0.108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B-B64C-ABAF-9928F8E0ABDC}"/>
            </c:ext>
          </c:extLst>
        </c:ser>
        <c:ser>
          <c:idx val="2"/>
          <c:order val="1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[6]Sheet1!$71:$71</c:f>
              <c:numCache>
                <c:formatCode>General</c:formatCode>
                <c:ptCount val="16384"/>
                <c:pt idx="0">
                  <c:v>5.5899999999999998E-2</c:v>
                </c:pt>
                <c:pt idx="1">
                  <c:v>5.0999999999999997E-2</c:v>
                </c:pt>
                <c:pt idx="2">
                  <c:v>5.8000000000000003E-2</c:v>
                </c:pt>
                <c:pt idx="3">
                  <c:v>5.16E-2</c:v>
                </c:pt>
                <c:pt idx="4">
                  <c:v>6.0299999999999999E-2</c:v>
                </c:pt>
                <c:pt idx="5">
                  <c:v>6.6799999999999998E-2</c:v>
                </c:pt>
                <c:pt idx="6">
                  <c:v>6.7699999999999996E-2</c:v>
                </c:pt>
                <c:pt idx="7">
                  <c:v>6.4000000000000001E-2</c:v>
                </c:pt>
                <c:pt idx="8">
                  <c:v>6.3899999999999998E-2</c:v>
                </c:pt>
                <c:pt idx="9">
                  <c:v>6.8500000000000005E-2</c:v>
                </c:pt>
                <c:pt idx="10">
                  <c:v>6.3399999999999998E-2</c:v>
                </c:pt>
                <c:pt idx="11">
                  <c:v>6.6600000000000006E-2</c:v>
                </c:pt>
                <c:pt idx="12">
                  <c:v>6.54E-2</c:v>
                </c:pt>
                <c:pt idx="13">
                  <c:v>5.7799999999999997E-2</c:v>
                </c:pt>
                <c:pt idx="14">
                  <c:v>6.7299999999999999E-2</c:v>
                </c:pt>
                <c:pt idx="15">
                  <c:v>6.7699999999999996E-2</c:v>
                </c:pt>
                <c:pt idx="16">
                  <c:v>6.4600000000000005E-2</c:v>
                </c:pt>
                <c:pt idx="17">
                  <c:v>7.1199999999999999E-2</c:v>
                </c:pt>
                <c:pt idx="18">
                  <c:v>6.5000000000000002E-2</c:v>
                </c:pt>
                <c:pt idx="19">
                  <c:v>6.7299999999999999E-2</c:v>
                </c:pt>
                <c:pt idx="20">
                  <c:v>7.1199999999999999E-2</c:v>
                </c:pt>
                <c:pt idx="21">
                  <c:v>7.3599999999999999E-2</c:v>
                </c:pt>
                <c:pt idx="22">
                  <c:v>6.9400000000000003E-2</c:v>
                </c:pt>
                <c:pt idx="23">
                  <c:v>7.6399999999999996E-2</c:v>
                </c:pt>
                <c:pt idx="24">
                  <c:v>7.3099999999999998E-2</c:v>
                </c:pt>
                <c:pt idx="25">
                  <c:v>7.6200000000000004E-2</c:v>
                </c:pt>
                <c:pt idx="26">
                  <c:v>8.0600000000000005E-2</c:v>
                </c:pt>
                <c:pt idx="27">
                  <c:v>7.7799999999999994E-2</c:v>
                </c:pt>
                <c:pt idx="28">
                  <c:v>8.2900000000000001E-2</c:v>
                </c:pt>
                <c:pt idx="29">
                  <c:v>8.7999999999999995E-2</c:v>
                </c:pt>
                <c:pt idx="30">
                  <c:v>9.2100000000000001E-2</c:v>
                </c:pt>
                <c:pt idx="31">
                  <c:v>9.5799999999999996E-2</c:v>
                </c:pt>
                <c:pt idx="32">
                  <c:v>9.6299999999999997E-2</c:v>
                </c:pt>
                <c:pt idx="33">
                  <c:v>9.4299999999999995E-2</c:v>
                </c:pt>
                <c:pt idx="34">
                  <c:v>0.1008</c:v>
                </c:pt>
                <c:pt idx="35">
                  <c:v>0.1052</c:v>
                </c:pt>
                <c:pt idx="36">
                  <c:v>0.111</c:v>
                </c:pt>
                <c:pt idx="37">
                  <c:v>0.11749999999999999</c:v>
                </c:pt>
                <c:pt idx="38">
                  <c:v>0.11849999999999999</c:v>
                </c:pt>
                <c:pt idx="39">
                  <c:v>0.1211</c:v>
                </c:pt>
                <c:pt idx="40">
                  <c:v>0.11609999999999999</c:v>
                </c:pt>
                <c:pt idx="41">
                  <c:v>0.1198</c:v>
                </c:pt>
                <c:pt idx="42">
                  <c:v>0.12529999999999999</c:v>
                </c:pt>
                <c:pt idx="43">
                  <c:v>0.12559999999999999</c:v>
                </c:pt>
                <c:pt idx="44">
                  <c:v>0.12989999999999999</c:v>
                </c:pt>
                <c:pt idx="45">
                  <c:v>0.1328</c:v>
                </c:pt>
                <c:pt idx="46">
                  <c:v>0.1353</c:v>
                </c:pt>
                <c:pt idx="47">
                  <c:v>0.1429</c:v>
                </c:pt>
                <c:pt idx="48">
                  <c:v>0.13830000000000001</c:v>
                </c:pt>
                <c:pt idx="49">
                  <c:v>0.14480000000000001</c:v>
                </c:pt>
                <c:pt idx="50">
                  <c:v>0.14660000000000001</c:v>
                </c:pt>
                <c:pt idx="51">
                  <c:v>0.14499999999999999</c:v>
                </c:pt>
                <c:pt idx="52">
                  <c:v>0.14929999999999999</c:v>
                </c:pt>
                <c:pt idx="53">
                  <c:v>0.1527</c:v>
                </c:pt>
                <c:pt idx="54">
                  <c:v>0.15290000000000001</c:v>
                </c:pt>
                <c:pt idx="55">
                  <c:v>0.14949999999999999</c:v>
                </c:pt>
                <c:pt idx="56">
                  <c:v>0.15570000000000001</c:v>
                </c:pt>
                <c:pt idx="57">
                  <c:v>0.1588</c:v>
                </c:pt>
                <c:pt idx="58">
                  <c:v>0.15690000000000001</c:v>
                </c:pt>
                <c:pt idx="59">
                  <c:v>0.1555</c:v>
                </c:pt>
                <c:pt idx="60">
                  <c:v>0.161</c:v>
                </c:pt>
                <c:pt idx="61">
                  <c:v>0.16200000000000001</c:v>
                </c:pt>
                <c:pt idx="62">
                  <c:v>0.16209999999999999</c:v>
                </c:pt>
                <c:pt idx="63">
                  <c:v>0.1641</c:v>
                </c:pt>
                <c:pt idx="64">
                  <c:v>0.1628</c:v>
                </c:pt>
                <c:pt idx="65">
                  <c:v>0.16650000000000001</c:v>
                </c:pt>
                <c:pt idx="66">
                  <c:v>0.16139999999999999</c:v>
                </c:pt>
                <c:pt idx="67">
                  <c:v>0.16750000000000001</c:v>
                </c:pt>
                <c:pt idx="68">
                  <c:v>0.16600000000000001</c:v>
                </c:pt>
                <c:pt idx="69">
                  <c:v>0.16880000000000001</c:v>
                </c:pt>
                <c:pt idx="70">
                  <c:v>0.1701</c:v>
                </c:pt>
                <c:pt idx="71">
                  <c:v>0.1711</c:v>
                </c:pt>
                <c:pt idx="72">
                  <c:v>0.17130000000000001</c:v>
                </c:pt>
                <c:pt idx="73">
                  <c:v>0.17230000000000001</c:v>
                </c:pt>
                <c:pt idx="74">
                  <c:v>0.1759</c:v>
                </c:pt>
                <c:pt idx="75">
                  <c:v>0.17530000000000001</c:v>
                </c:pt>
                <c:pt idx="76">
                  <c:v>0.17480000000000001</c:v>
                </c:pt>
                <c:pt idx="77">
                  <c:v>0.1759</c:v>
                </c:pt>
                <c:pt idx="78">
                  <c:v>0.17510000000000001</c:v>
                </c:pt>
                <c:pt idx="79">
                  <c:v>0.1734</c:v>
                </c:pt>
                <c:pt idx="80">
                  <c:v>0.1714</c:v>
                </c:pt>
                <c:pt idx="81">
                  <c:v>0.1731</c:v>
                </c:pt>
                <c:pt idx="82">
                  <c:v>0.17180000000000001</c:v>
                </c:pt>
                <c:pt idx="83">
                  <c:v>0.17180000000000001</c:v>
                </c:pt>
                <c:pt idx="84">
                  <c:v>0.17519999999999999</c:v>
                </c:pt>
                <c:pt idx="85">
                  <c:v>0.17460000000000001</c:v>
                </c:pt>
                <c:pt idx="86">
                  <c:v>0.1741</c:v>
                </c:pt>
                <c:pt idx="87">
                  <c:v>0.1767</c:v>
                </c:pt>
                <c:pt idx="88">
                  <c:v>0.17680000000000001</c:v>
                </c:pt>
                <c:pt idx="89">
                  <c:v>0.18060000000000001</c:v>
                </c:pt>
                <c:pt idx="90">
                  <c:v>0.1777</c:v>
                </c:pt>
                <c:pt idx="91">
                  <c:v>0.1789</c:v>
                </c:pt>
                <c:pt idx="92">
                  <c:v>0.17710000000000001</c:v>
                </c:pt>
                <c:pt idx="93">
                  <c:v>0.18129999999999999</c:v>
                </c:pt>
                <c:pt idx="94">
                  <c:v>0.17899999999999999</c:v>
                </c:pt>
                <c:pt idx="95">
                  <c:v>0.17949999999999999</c:v>
                </c:pt>
                <c:pt idx="96">
                  <c:v>0.1799</c:v>
                </c:pt>
                <c:pt idx="97">
                  <c:v>0.18310000000000001</c:v>
                </c:pt>
                <c:pt idx="98">
                  <c:v>0.1827</c:v>
                </c:pt>
                <c:pt idx="99">
                  <c:v>0.18329999999999999</c:v>
                </c:pt>
                <c:pt idx="100">
                  <c:v>0.18290000000000001</c:v>
                </c:pt>
                <c:pt idx="101">
                  <c:v>0.17899999999999999</c:v>
                </c:pt>
                <c:pt idx="102">
                  <c:v>0.17760000000000001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AB-B64C-ABAF-9928F8E0ABDC}"/>
            </c:ext>
          </c:extLst>
        </c:ser>
        <c:ser>
          <c:idx val="1"/>
          <c:order val="2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984807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[6]Sheet1!$72:$72</c:f>
              <c:numCache>
                <c:formatCode>General</c:formatCode>
                <c:ptCount val="16384"/>
                <c:pt idx="0">
                  <c:v>6.5000000000000002E-2</c:v>
                </c:pt>
                <c:pt idx="1">
                  <c:v>6.6000000000000003E-2</c:v>
                </c:pt>
                <c:pt idx="2">
                  <c:v>6.6699999999999995E-2</c:v>
                </c:pt>
                <c:pt idx="3">
                  <c:v>6.25E-2</c:v>
                </c:pt>
                <c:pt idx="4">
                  <c:v>6.4899999999999999E-2</c:v>
                </c:pt>
                <c:pt idx="5">
                  <c:v>6.5299999999999997E-2</c:v>
                </c:pt>
                <c:pt idx="6">
                  <c:v>6.7699999999999996E-2</c:v>
                </c:pt>
                <c:pt idx="7">
                  <c:v>6.9199999999999998E-2</c:v>
                </c:pt>
                <c:pt idx="8">
                  <c:v>6.8900000000000003E-2</c:v>
                </c:pt>
                <c:pt idx="9">
                  <c:v>6.9500000000000006E-2</c:v>
                </c:pt>
                <c:pt idx="10">
                  <c:v>7.1300000000000002E-2</c:v>
                </c:pt>
                <c:pt idx="11">
                  <c:v>7.1400000000000005E-2</c:v>
                </c:pt>
                <c:pt idx="12">
                  <c:v>7.1349999999999997E-2</c:v>
                </c:pt>
                <c:pt idx="13">
                  <c:v>7.1260000000000004E-2</c:v>
                </c:pt>
                <c:pt idx="14">
                  <c:v>7.1629999999999999E-2</c:v>
                </c:pt>
                <c:pt idx="15">
                  <c:v>7.1239999999999998E-2</c:v>
                </c:pt>
                <c:pt idx="16">
                  <c:v>7.1480000000000002E-2</c:v>
                </c:pt>
                <c:pt idx="17">
                  <c:v>7.2349999999999998E-2</c:v>
                </c:pt>
                <c:pt idx="18">
                  <c:v>7.1870000000000003E-2</c:v>
                </c:pt>
                <c:pt idx="19">
                  <c:v>7.2489999999999999E-2</c:v>
                </c:pt>
                <c:pt idx="20">
                  <c:v>7.2288099999999994E-2</c:v>
                </c:pt>
                <c:pt idx="21">
                  <c:v>7.2300000000000003E-2</c:v>
                </c:pt>
                <c:pt idx="22">
                  <c:v>7.5240000000000001E-2</c:v>
                </c:pt>
                <c:pt idx="23">
                  <c:v>8.1699999999999995E-2</c:v>
                </c:pt>
                <c:pt idx="24">
                  <c:v>8.3030000000000007E-2</c:v>
                </c:pt>
                <c:pt idx="25">
                  <c:v>8.5313200000000006E-2</c:v>
                </c:pt>
                <c:pt idx="26">
                  <c:v>8.5500000000000007E-2</c:v>
                </c:pt>
                <c:pt idx="27">
                  <c:v>8.8959999999999997E-2</c:v>
                </c:pt>
                <c:pt idx="28">
                  <c:v>9.1800000000000007E-2</c:v>
                </c:pt>
                <c:pt idx="29">
                  <c:v>9.6570000000000003E-2</c:v>
                </c:pt>
                <c:pt idx="30">
                  <c:v>9.7500000000000003E-2</c:v>
                </c:pt>
                <c:pt idx="31">
                  <c:v>9.8900000000000002E-2</c:v>
                </c:pt>
                <c:pt idx="32">
                  <c:v>0.1089</c:v>
                </c:pt>
                <c:pt idx="33">
                  <c:v>0.1099</c:v>
                </c:pt>
                <c:pt idx="34">
                  <c:v>0.1152</c:v>
                </c:pt>
                <c:pt idx="35">
                  <c:v>0.11695</c:v>
                </c:pt>
                <c:pt idx="36">
                  <c:v>0.11786000000000001</c:v>
                </c:pt>
                <c:pt idx="37">
                  <c:v>0.1221</c:v>
                </c:pt>
                <c:pt idx="38">
                  <c:v>0.12914</c:v>
                </c:pt>
                <c:pt idx="39">
                  <c:v>0.1326</c:v>
                </c:pt>
                <c:pt idx="40">
                  <c:v>0.13320000000000001</c:v>
                </c:pt>
                <c:pt idx="41">
                  <c:v>0.14130000000000001</c:v>
                </c:pt>
                <c:pt idx="42">
                  <c:v>0.14735999999999999</c:v>
                </c:pt>
                <c:pt idx="43">
                  <c:v>0.14899999999999999</c:v>
                </c:pt>
                <c:pt idx="44">
                  <c:v>0.15340000000000001</c:v>
                </c:pt>
                <c:pt idx="45">
                  <c:v>0.15740000000000001</c:v>
                </c:pt>
                <c:pt idx="46">
                  <c:v>0.15926000000000001</c:v>
                </c:pt>
                <c:pt idx="47">
                  <c:v>0.16300000000000001</c:v>
                </c:pt>
                <c:pt idx="48">
                  <c:v>0.1696</c:v>
                </c:pt>
                <c:pt idx="49">
                  <c:v>0.17319999999999999</c:v>
                </c:pt>
                <c:pt idx="50">
                  <c:v>0.17799999999999999</c:v>
                </c:pt>
                <c:pt idx="51">
                  <c:v>0.18099999999999999</c:v>
                </c:pt>
                <c:pt idx="52">
                  <c:v>0.183</c:v>
                </c:pt>
                <c:pt idx="53">
                  <c:v>0.187</c:v>
                </c:pt>
                <c:pt idx="54">
                  <c:v>0.189</c:v>
                </c:pt>
                <c:pt idx="55">
                  <c:v>0.19400000000000001</c:v>
                </c:pt>
                <c:pt idx="56">
                  <c:v>0.19600000000000001</c:v>
                </c:pt>
                <c:pt idx="57">
                  <c:v>0.19600000000000001</c:v>
                </c:pt>
                <c:pt idx="58">
                  <c:v>0.19900000000000001</c:v>
                </c:pt>
                <c:pt idx="59">
                  <c:v>0.20100000000000001</c:v>
                </c:pt>
                <c:pt idx="60">
                  <c:v>0.20430000000000001</c:v>
                </c:pt>
                <c:pt idx="61">
                  <c:v>0.20599999999999999</c:v>
                </c:pt>
                <c:pt idx="62">
                  <c:v>0.2082</c:v>
                </c:pt>
                <c:pt idx="63">
                  <c:v>0.21110000000000001</c:v>
                </c:pt>
                <c:pt idx="64">
                  <c:v>0.214</c:v>
                </c:pt>
                <c:pt idx="65">
                  <c:v>0.21737999999999999</c:v>
                </c:pt>
                <c:pt idx="66">
                  <c:v>0.2198</c:v>
                </c:pt>
                <c:pt idx="67">
                  <c:v>0.2223</c:v>
                </c:pt>
                <c:pt idx="68">
                  <c:v>0.22439999999999999</c:v>
                </c:pt>
                <c:pt idx="69">
                  <c:v>0.22811999999999999</c:v>
                </c:pt>
                <c:pt idx="70">
                  <c:v>0.22950000000000001</c:v>
                </c:pt>
                <c:pt idx="71">
                  <c:v>0.23119999999999999</c:v>
                </c:pt>
                <c:pt idx="72">
                  <c:v>0.23283999999999999</c:v>
                </c:pt>
                <c:pt idx="73">
                  <c:v>0.23400000000000001</c:v>
                </c:pt>
                <c:pt idx="74">
                  <c:v>0.2356</c:v>
                </c:pt>
                <c:pt idx="75">
                  <c:v>0.23699999999999999</c:v>
                </c:pt>
                <c:pt idx="76">
                  <c:v>0.23899999999999999</c:v>
                </c:pt>
                <c:pt idx="77">
                  <c:v>0.24099999999999999</c:v>
                </c:pt>
                <c:pt idx="78">
                  <c:v>0.24279999999999999</c:v>
                </c:pt>
                <c:pt idx="79">
                  <c:v>0.24349999999999999</c:v>
                </c:pt>
                <c:pt idx="80">
                  <c:v>0.24399999999999999</c:v>
                </c:pt>
                <c:pt idx="81">
                  <c:v>0.24490000000000001</c:v>
                </c:pt>
                <c:pt idx="82">
                  <c:v>0.24399999999999999</c:v>
                </c:pt>
                <c:pt idx="83">
                  <c:v>0.24299999999999999</c:v>
                </c:pt>
                <c:pt idx="84">
                  <c:v>0.24399999999999999</c:v>
                </c:pt>
                <c:pt idx="85">
                  <c:v>0.245</c:v>
                </c:pt>
                <c:pt idx="86">
                  <c:v>0.248</c:v>
                </c:pt>
                <c:pt idx="87">
                  <c:v>0.246</c:v>
                </c:pt>
                <c:pt idx="88">
                  <c:v>0.245</c:v>
                </c:pt>
                <c:pt idx="89">
                  <c:v>0.249</c:v>
                </c:pt>
                <c:pt idx="90">
                  <c:v>0.25</c:v>
                </c:pt>
                <c:pt idx="91">
                  <c:v>0.248</c:v>
                </c:pt>
                <c:pt idx="92">
                  <c:v>0.247</c:v>
                </c:pt>
                <c:pt idx="93">
                  <c:v>0.249</c:v>
                </c:pt>
                <c:pt idx="94">
                  <c:v>0.25</c:v>
                </c:pt>
                <c:pt idx="95">
                  <c:v>0.251</c:v>
                </c:pt>
                <c:pt idx="96">
                  <c:v>0.252</c:v>
                </c:pt>
                <c:pt idx="97">
                  <c:v>0.252</c:v>
                </c:pt>
                <c:pt idx="98">
                  <c:v>0.253</c:v>
                </c:pt>
                <c:pt idx="99">
                  <c:v>0.254</c:v>
                </c:pt>
                <c:pt idx="100">
                  <c:v>0.252</c:v>
                </c:pt>
                <c:pt idx="101">
                  <c:v>0.248</c:v>
                </c:pt>
                <c:pt idx="102">
                  <c:v>0.249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AB-B64C-ABAF-9928F8E0ABDC}"/>
            </c:ext>
          </c:extLst>
        </c:ser>
        <c:ser>
          <c:idx val="4"/>
          <c:order val="3"/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[6]Sheet1!$73:$73</c:f>
              <c:numCache>
                <c:formatCode>General</c:formatCode>
                <c:ptCount val="16384"/>
                <c:pt idx="0">
                  <c:v>6.1199999999999997E-2</c:v>
                </c:pt>
                <c:pt idx="1">
                  <c:v>6.1400000000000003E-2</c:v>
                </c:pt>
                <c:pt idx="2">
                  <c:v>6.1699999999999998E-2</c:v>
                </c:pt>
                <c:pt idx="3">
                  <c:v>6.4100000000000004E-2</c:v>
                </c:pt>
                <c:pt idx="4">
                  <c:v>6.8000000000000005E-2</c:v>
                </c:pt>
                <c:pt idx="5">
                  <c:v>7.0999999999999994E-2</c:v>
                </c:pt>
                <c:pt idx="6">
                  <c:v>7.5499999999999998E-2</c:v>
                </c:pt>
                <c:pt idx="7">
                  <c:v>7.9200000000000007E-2</c:v>
                </c:pt>
                <c:pt idx="8">
                  <c:v>7.9100000000000004E-2</c:v>
                </c:pt>
                <c:pt idx="9">
                  <c:v>7.9899999999999999E-2</c:v>
                </c:pt>
                <c:pt idx="10">
                  <c:v>7.8850000000000003E-2</c:v>
                </c:pt>
                <c:pt idx="11">
                  <c:v>8.4400000000000003E-2</c:v>
                </c:pt>
                <c:pt idx="12">
                  <c:v>8.5000000000000006E-2</c:v>
                </c:pt>
                <c:pt idx="13">
                  <c:v>8.3599999999999994E-2</c:v>
                </c:pt>
                <c:pt idx="14">
                  <c:v>8.7300000000000003E-2</c:v>
                </c:pt>
                <c:pt idx="15">
                  <c:v>8.924E-2</c:v>
                </c:pt>
                <c:pt idx="16">
                  <c:v>8.7480000000000002E-2</c:v>
                </c:pt>
                <c:pt idx="17">
                  <c:v>8.8499999999999995E-2</c:v>
                </c:pt>
                <c:pt idx="18">
                  <c:v>8.8700000000000001E-2</c:v>
                </c:pt>
                <c:pt idx="19">
                  <c:v>8.949E-2</c:v>
                </c:pt>
                <c:pt idx="20">
                  <c:v>9.0999999999999998E-2</c:v>
                </c:pt>
                <c:pt idx="21">
                  <c:v>9.4320000000000001E-2</c:v>
                </c:pt>
                <c:pt idx="22">
                  <c:v>9.4399999999999998E-2</c:v>
                </c:pt>
                <c:pt idx="23">
                  <c:v>0.107</c:v>
                </c:pt>
                <c:pt idx="24">
                  <c:v>0.111</c:v>
                </c:pt>
                <c:pt idx="25">
                  <c:v>0.12</c:v>
                </c:pt>
                <c:pt idx="26">
                  <c:v>0.1255</c:v>
                </c:pt>
                <c:pt idx="27">
                  <c:v>0.1396</c:v>
                </c:pt>
                <c:pt idx="28">
                  <c:v>0.13800000000000001</c:v>
                </c:pt>
                <c:pt idx="29">
                  <c:v>0.14699999999999999</c:v>
                </c:pt>
                <c:pt idx="30">
                  <c:v>0.14760000000000001</c:v>
                </c:pt>
                <c:pt idx="31">
                  <c:v>0.1489</c:v>
                </c:pt>
                <c:pt idx="32">
                  <c:v>0.1565</c:v>
                </c:pt>
                <c:pt idx="33">
                  <c:v>0.16200000000000001</c:v>
                </c:pt>
                <c:pt idx="34">
                  <c:v>0.17499999999999999</c:v>
                </c:pt>
                <c:pt idx="35">
                  <c:v>0.17949999999999999</c:v>
                </c:pt>
                <c:pt idx="36">
                  <c:v>0.186</c:v>
                </c:pt>
                <c:pt idx="37">
                  <c:v>0.191</c:v>
                </c:pt>
                <c:pt idx="38">
                  <c:v>0.20100000000000001</c:v>
                </c:pt>
                <c:pt idx="39">
                  <c:v>0.20599999999999999</c:v>
                </c:pt>
                <c:pt idx="40">
                  <c:v>0.21032000000000001</c:v>
                </c:pt>
                <c:pt idx="41">
                  <c:v>0.21299999999999999</c:v>
                </c:pt>
                <c:pt idx="42">
                  <c:v>0.21836</c:v>
                </c:pt>
                <c:pt idx="43">
                  <c:v>0.22500000000000001</c:v>
                </c:pt>
                <c:pt idx="44">
                  <c:v>0.22339999999999999</c:v>
                </c:pt>
                <c:pt idx="45">
                  <c:v>0.22939999999999999</c:v>
                </c:pt>
                <c:pt idx="46">
                  <c:v>0.2316</c:v>
                </c:pt>
                <c:pt idx="47">
                  <c:v>0.2349</c:v>
                </c:pt>
                <c:pt idx="48">
                  <c:v>0.246</c:v>
                </c:pt>
                <c:pt idx="49">
                  <c:v>0.247</c:v>
                </c:pt>
                <c:pt idx="50">
                  <c:v>0.25019999999999998</c:v>
                </c:pt>
                <c:pt idx="51">
                  <c:v>0.25700000000000001</c:v>
                </c:pt>
                <c:pt idx="52">
                  <c:v>0.26</c:v>
                </c:pt>
                <c:pt idx="53">
                  <c:v>0.26700000000000002</c:v>
                </c:pt>
                <c:pt idx="54">
                  <c:v>0.27060000000000001</c:v>
                </c:pt>
                <c:pt idx="55">
                  <c:v>0.27939999999999998</c:v>
                </c:pt>
                <c:pt idx="56">
                  <c:v>0.28199999999999997</c:v>
                </c:pt>
                <c:pt idx="57">
                  <c:v>0.28410000000000002</c:v>
                </c:pt>
                <c:pt idx="58">
                  <c:v>0.28599999999999998</c:v>
                </c:pt>
                <c:pt idx="59">
                  <c:v>0.28889999999999999</c:v>
                </c:pt>
                <c:pt idx="60">
                  <c:v>0.2843</c:v>
                </c:pt>
                <c:pt idx="61">
                  <c:v>0.29099999999999998</c:v>
                </c:pt>
                <c:pt idx="62">
                  <c:v>0.29199999999999998</c:v>
                </c:pt>
                <c:pt idx="63">
                  <c:v>0.29310000000000003</c:v>
                </c:pt>
                <c:pt idx="64">
                  <c:v>0.29310000000000003</c:v>
                </c:pt>
                <c:pt idx="65">
                  <c:v>0.29380000000000001</c:v>
                </c:pt>
                <c:pt idx="66">
                  <c:v>0.29677999999999999</c:v>
                </c:pt>
                <c:pt idx="67">
                  <c:v>0.29899999999999999</c:v>
                </c:pt>
                <c:pt idx="68">
                  <c:v>0.30399999999999999</c:v>
                </c:pt>
                <c:pt idx="69">
                  <c:v>0.30199999999999999</c:v>
                </c:pt>
                <c:pt idx="70">
                  <c:v>0.30499999999999999</c:v>
                </c:pt>
                <c:pt idx="71">
                  <c:v>0.30819999999999997</c:v>
                </c:pt>
                <c:pt idx="72">
                  <c:v>0.307</c:v>
                </c:pt>
                <c:pt idx="73">
                  <c:v>0.31</c:v>
                </c:pt>
                <c:pt idx="74">
                  <c:v>0.309</c:v>
                </c:pt>
                <c:pt idx="75">
                  <c:v>0.31140000000000001</c:v>
                </c:pt>
                <c:pt idx="76">
                  <c:v>0.312</c:v>
                </c:pt>
                <c:pt idx="77">
                  <c:v>0.312</c:v>
                </c:pt>
                <c:pt idx="78">
                  <c:v>0.313</c:v>
                </c:pt>
                <c:pt idx="79">
                  <c:v>0.312</c:v>
                </c:pt>
                <c:pt idx="80">
                  <c:v>0.314</c:v>
                </c:pt>
                <c:pt idx="81">
                  <c:v>0.315</c:v>
                </c:pt>
                <c:pt idx="82">
                  <c:v>0.316</c:v>
                </c:pt>
                <c:pt idx="83">
                  <c:v>0.31540000000000001</c:v>
                </c:pt>
                <c:pt idx="84">
                  <c:v>0.316</c:v>
                </c:pt>
                <c:pt idx="85">
                  <c:v>0.316</c:v>
                </c:pt>
                <c:pt idx="86">
                  <c:v>0.314</c:v>
                </c:pt>
                <c:pt idx="87">
                  <c:v>0.315</c:v>
                </c:pt>
                <c:pt idx="88">
                  <c:v>0.31900000000000001</c:v>
                </c:pt>
                <c:pt idx="89">
                  <c:v>0.32</c:v>
                </c:pt>
                <c:pt idx="90">
                  <c:v>0.31900000000000001</c:v>
                </c:pt>
                <c:pt idx="91">
                  <c:v>0.31559999999999999</c:v>
                </c:pt>
                <c:pt idx="92">
                  <c:v>0.31609999999999999</c:v>
                </c:pt>
                <c:pt idx="93">
                  <c:v>0.31780000000000003</c:v>
                </c:pt>
                <c:pt idx="94">
                  <c:v>0.31709999999999999</c:v>
                </c:pt>
                <c:pt idx="95">
                  <c:v>0.319936</c:v>
                </c:pt>
                <c:pt idx="96">
                  <c:v>0.32190000000000002</c:v>
                </c:pt>
                <c:pt idx="97">
                  <c:v>0.32052000000000003</c:v>
                </c:pt>
                <c:pt idx="98">
                  <c:v>0.32074999999999998</c:v>
                </c:pt>
                <c:pt idx="99">
                  <c:v>0.31969999999999998</c:v>
                </c:pt>
                <c:pt idx="100">
                  <c:v>0.31819999999999998</c:v>
                </c:pt>
                <c:pt idx="101">
                  <c:v>0.31609999999999999</c:v>
                </c:pt>
                <c:pt idx="102">
                  <c:v>0.32066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AB-B64C-ABAF-9928F8E0ABDC}"/>
            </c:ext>
          </c:extLst>
        </c:ser>
        <c:ser>
          <c:idx val="3"/>
          <c:order val="4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[6]Sheet1!$69:$69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[6]Sheet1!$74:$74</c:f>
              <c:numCache>
                <c:formatCode>General</c:formatCode>
                <c:ptCount val="16384"/>
                <c:pt idx="0">
                  <c:v>6.7199999999999996E-2</c:v>
                </c:pt>
                <c:pt idx="1">
                  <c:v>6.0199999999999997E-2</c:v>
                </c:pt>
                <c:pt idx="2">
                  <c:v>6.6699999999999995E-2</c:v>
                </c:pt>
                <c:pt idx="3">
                  <c:v>6.3E-2</c:v>
                </c:pt>
                <c:pt idx="4">
                  <c:v>6.4899999999999999E-2</c:v>
                </c:pt>
                <c:pt idx="5">
                  <c:v>7.5300000000000006E-2</c:v>
                </c:pt>
                <c:pt idx="6">
                  <c:v>7.7700000000000005E-2</c:v>
                </c:pt>
                <c:pt idx="7">
                  <c:v>7.3200000000000001E-2</c:v>
                </c:pt>
                <c:pt idx="8">
                  <c:v>7.4099999999999999E-2</c:v>
                </c:pt>
                <c:pt idx="9">
                  <c:v>8.1799999999999998E-2</c:v>
                </c:pt>
                <c:pt idx="10">
                  <c:v>7.4499999999999997E-2</c:v>
                </c:pt>
                <c:pt idx="11">
                  <c:v>7.4399999999999994E-2</c:v>
                </c:pt>
                <c:pt idx="12">
                  <c:v>7.4499999999999997E-2</c:v>
                </c:pt>
                <c:pt idx="13">
                  <c:v>7.3599999999999999E-2</c:v>
                </c:pt>
                <c:pt idx="14">
                  <c:v>7.2999999999999995E-2</c:v>
                </c:pt>
                <c:pt idx="15">
                  <c:v>8.2400000000000001E-2</c:v>
                </c:pt>
                <c:pt idx="16">
                  <c:v>7.4800000000000005E-2</c:v>
                </c:pt>
                <c:pt idx="17">
                  <c:v>8.1000000000000003E-2</c:v>
                </c:pt>
                <c:pt idx="18">
                  <c:v>7.8700000000000006E-2</c:v>
                </c:pt>
                <c:pt idx="19">
                  <c:v>8.1490000000000007E-2</c:v>
                </c:pt>
                <c:pt idx="20">
                  <c:v>8.1809999999999994E-2</c:v>
                </c:pt>
                <c:pt idx="21">
                  <c:v>8.3199999999999996E-2</c:v>
                </c:pt>
                <c:pt idx="22">
                  <c:v>8.2400000000000001E-2</c:v>
                </c:pt>
                <c:pt idx="23">
                  <c:v>8.1699999999999995E-2</c:v>
                </c:pt>
                <c:pt idx="24">
                  <c:v>8.1030000000000005E-2</c:v>
                </c:pt>
                <c:pt idx="25">
                  <c:v>9.3200000000000005E-2</c:v>
                </c:pt>
                <c:pt idx="26">
                  <c:v>9.5500000000000002E-2</c:v>
                </c:pt>
                <c:pt idx="27">
                  <c:v>0.1096</c:v>
                </c:pt>
                <c:pt idx="28">
                  <c:v>0.1128</c:v>
                </c:pt>
                <c:pt idx="29">
                  <c:v>0.11347</c:v>
                </c:pt>
                <c:pt idx="30">
                  <c:v>0.11876</c:v>
                </c:pt>
                <c:pt idx="31">
                  <c:v>0.12189</c:v>
                </c:pt>
                <c:pt idx="32">
                  <c:v>0.12525</c:v>
                </c:pt>
                <c:pt idx="33">
                  <c:v>0.1356</c:v>
                </c:pt>
                <c:pt idx="34">
                  <c:v>0.13678000000000001</c:v>
                </c:pt>
                <c:pt idx="35">
                  <c:v>0.14194999999999999</c:v>
                </c:pt>
                <c:pt idx="36">
                  <c:v>0.14785999999999999</c:v>
                </c:pt>
                <c:pt idx="37">
                  <c:v>0.14871000000000001</c:v>
                </c:pt>
                <c:pt idx="38">
                  <c:v>0.15140000000000001</c:v>
                </c:pt>
                <c:pt idx="39">
                  <c:v>0.156</c:v>
                </c:pt>
                <c:pt idx="40">
                  <c:v>0.16200000000000001</c:v>
                </c:pt>
                <c:pt idx="41">
                  <c:v>0.1653</c:v>
                </c:pt>
                <c:pt idx="42">
                  <c:v>0.17599999999999999</c:v>
                </c:pt>
                <c:pt idx="43">
                  <c:v>0.18049999999999999</c:v>
                </c:pt>
                <c:pt idx="44">
                  <c:v>0.188</c:v>
                </c:pt>
                <c:pt idx="45">
                  <c:v>0.19173999999999999</c:v>
                </c:pt>
                <c:pt idx="46">
                  <c:v>0.19225999999999999</c:v>
                </c:pt>
                <c:pt idx="47">
                  <c:v>0.19500000000000001</c:v>
                </c:pt>
                <c:pt idx="48">
                  <c:v>0.19900000000000001</c:v>
                </c:pt>
                <c:pt idx="49">
                  <c:v>0.20469999999999999</c:v>
                </c:pt>
                <c:pt idx="50">
                  <c:v>0.20402000000000001</c:v>
                </c:pt>
                <c:pt idx="51">
                  <c:v>0.2137</c:v>
                </c:pt>
                <c:pt idx="52">
                  <c:v>0.21640000000000001</c:v>
                </c:pt>
                <c:pt idx="53">
                  <c:v>0.22170000000000001</c:v>
                </c:pt>
                <c:pt idx="54">
                  <c:v>0.22506000000000001</c:v>
                </c:pt>
                <c:pt idx="55">
                  <c:v>0.22494</c:v>
                </c:pt>
                <c:pt idx="56">
                  <c:v>0.23080000000000001</c:v>
                </c:pt>
                <c:pt idx="57">
                  <c:v>0.2301</c:v>
                </c:pt>
                <c:pt idx="58">
                  <c:v>0.2326</c:v>
                </c:pt>
                <c:pt idx="59">
                  <c:v>0.23588999999999999</c:v>
                </c:pt>
                <c:pt idx="60">
                  <c:v>0.23643</c:v>
                </c:pt>
                <c:pt idx="61">
                  <c:v>0.23648</c:v>
                </c:pt>
                <c:pt idx="62">
                  <c:v>0.23682</c:v>
                </c:pt>
                <c:pt idx="63">
                  <c:v>0.242671</c:v>
                </c:pt>
                <c:pt idx="64">
                  <c:v>0.24690999999999999</c:v>
                </c:pt>
                <c:pt idx="65">
                  <c:v>0.24737999999999999</c:v>
                </c:pt>
                <c:pt idx="66">
                  <c:v>0.24979999999999999</c:v>
                </c:pt>
                <c:pt idx="67">
                  <c:v>0.25290000000000001</c:v>
                </c:pt>
                <c:pt idx="68">
                  <c:v>0.25440000000000002</c:v>
                </c:pt>
                <c:pt idx="69">
                  <c:v>0.25619999999999998</c:v>
                </c:pt>
                <c:pt idx="70">
                  <c:v>0.25835000000000002</c:v>
                </c:pt>
                <c:pt idx="71">
                  <c:v>0.25862000000000002</c:v>
                </c:pt>
                <c:pt idx="72">
                  <c:v>0.25884000000000001</c:v>
                </c:pt>
                <c:pt idx="73">
                  <c:v>0.25903999999999999</c:v>
                </c:pt>
                <c:pt idx="74">
                  <c:v>0.2606</c:v>
                </c:pt>
                <c:pt idx="75">
                  <c:v>0.25903999999999999</c:v>
                </c:pt>
                <c:pt idx="76">
                  <c:v>0.262903</c:v>
                </c:pt>
                <c:pt idx="77">
                  <c:v>0.26479999999999998</c:v>
                </c:pt>
                <c:pt idx="78">
                  <c:v>0.26579999999999998</c:v>
                </c:pt>
                <c:pt idx="79">
                  <c:v>0.26740000000000003</c:v>
                </c:pt>
                <c:pt idx="80">
                  <c:v>0.26740000000000003</c:v>
                </c:pt>
                <c:pt idx="81">
                  <c:v>0.26600000000000001</c:v>
                </c:pt>
                <c:pt idx="82">
                  <c:v>0.26500000000000001</c:v>
                </c:pt>
                <c:pt idx="83">
                  <c:v>0.26540000000000002</c:v>
                </c:pt>
                <c:pt idx="84">
                  <c:v>0.26900000000000002</c:v>
                </c:pt>
                <c:pt idx="85">
                  <c:v>0.26900000000000002</c:v>
                </c:pt>
                <c:pt idx="86">
                  <c:v>0.27</c:v>
                </c:pt>
                <c:pt idx="87">
                  <c:v>0.27339999999999998</c:v>
                </c:pt>
                <c:pt idx="88">
                  <c:v>0.27300000000000002</c:v>
                </c:pt>
                <c:pt idx="89">
                  <c:v>0.2742</c:v>
                </c:pt>
                <c:pt idx="90">
                  <c:v>0.27389999999999998</c:v>
                </c:pt>
                <c:pt idx="91">
                  <c:v>0.27560000000000001</c:v>
                </c:pt>
                <c:pt idx="92">
                  <c:v>0.27610000000000001</c:v>
                </c:pt>
                <c:pt idx="93">
                  <c:v>0.27779999999999999</c:v>
                </c:pt>
                <c:pt idx="94">
                  <c:v>0.27710000000000001</c:v>
                </c:pt>
                <c:pt idx="95">
                  <c:v>0.27360000000000001</c:v>
                </c:pt>
                <c:pt idx="96">
                  <c:v>0.27689999999999998</c:v>
                </c:pt>
                <c:pt idx="97">
                  <c:v>0.27851999999999999</c:v>
                </c:pt>
                <c:pt idx="98">
                  <c:v>0.27750000000000002</c:v>
                </c:pt>
                <c:pt idx="99">
                  <c:v>0.2797</c:v>
                </c:pt>
                <c:pt idx="100">
                  <c:v>0.2782</c:v>
                </c:pt>
                <c:pt idx="101">
                  <c:v>0.28610000000000002</c:v>
                </c:pt>
                <c:pt idx="102">
                  <c:v>0.27660000000000001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AB-B64C-ABAF-9928F8E0A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480232"/>
        <c:axId val="2092327880"/>
      </c:scatterChart>
      <c:valAx>
        <c:axId val="2040480232"/>
        <c:scaling>
          <c:orientation val="minMax"/>
          <c:max val="1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327880"/>
        <c:crosses val="autoZero"/>
        <c:crossBetween val="midCat"/>
      </c:valAx>
      <c:valAx>
        <c:axId val="2092327880"/>
        <c:scaling>
          <c:orientation val="minMax"/>
          <c:max val="0.3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0480232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NMNAT2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647181628392501"/>
          <c:y val="2.9641294838145201E-2"/>
          <c:w val="0.82463465553235904"/>
          <c:h val="0.82624113475177297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solidFill>
                <a:srgbClr val="FF19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9DB2FF"/>
                </a:solidFill>
                <a:prstDash val="solid"/>
              </a:ln>
            </c:spPr>
          </c:marker>
          <c:xVal>
            <c:numRef>
              <c:f>[6]Sheet1!$50:$50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[6]Sheet1!$51:$51</c:f>
              <c:numCache>
                <c:formatCode>General</c:formatCode>
                <c:ptCount val="16384"/>
                <c:pt idx="0">
                  <c:v>0.108</c:v>
                </c:pt>
                <c:pt idx="1">
                  <c:v>0.1123</c:v>
                </c:pt>
                <c:pt idx="2">
                  <c:v>0.11260000000000001</c:v>
                </c:pt>
                <c:pt idx="3">
                  <c:v>0.11269999999999999</c:v>
                </c:pt>
                <c:pt idx="4">
                  <c:v>0.11219999999999999</c:v>
                </c:pt>
                <c:pt idx="5">
                  <c:v>0.112</c:v>
                </c:pt>
                <c:pt idx="6">
                  <c:v>0.1118</c:v>
                </c:pt>
                <c:pt idx="7">
                  <c:v>0.1124</c:v>
                </c:pt>
                <c:pt idx="8">
                  <c:v>0.1142</c:v>
                </c:pt>
                <c:pt idx="9">
                  <c:v>0.1119</c:v>
                </c:pt>
                <c:pt idx="10">
                  <c:v>0.1144</c:v>
                </c:pt>
                <c:pt idx="11">
                  <c:v>0.1145</c:v>
                </c:pt>
                <c:pt idx="12">
                  <c:v>0.114</c:v>
                </c:pt>
                <c:pt idx="13">
                  <c:v>0.1148</c:v>
                </c:pt>
                <c:pt idx="14">
                  <c:v>0.11459999999999999</c:v>
                </c:pt>
                <c:pt idx="15">
                  <c:v>0.1134</c:v>
                </c:pt>
                <c:pt idx="16">
                  <c:v>0.11119999999999999</c:v>
                </c:pt>
                <c:pt idx="17">
                  <c:v>0.11169999999999999</c:v>
                </c:pt>
                <c:pt idx="18">
                  <c:v>0.10970000000000001</c:v>
                </c:pt>
                <c:pt idx="19">
                  <c:v>0.1124</c:v>
                </c:pt>
                <c:pt idx="20">
                  <c:v>0.1142</c:v>
                </c:pt>
                <c:pt idx="21">
                  <c:v>0.1135</c:v>
                </c:pt>
                <c:pt idx="22">
                  <c:v>0.1145</c:v>
                </c:pt>
                <c:pt idx="23">
                  <c:v>0.11409999999999999</c:v>
                </c:pt>
                <c:pt idx="24">
                  <c:v>0.11310000000000001</c:v>
                </c:pt>
                <c:pt idx="25">
                  <c:v>0.1139</c:v>
                </c:pt>
                <c:pt idx="26">
                  <c:v>0.1123</c:v>
                </c:pt>
                <c:pt idx="27">
                  <c:v>0.113</c:v>
                </c:pt>
                <c:pt idx="28">
                  <c:v>0.1157</c:v>
                </c:pt>
                <c:pt idx="29">
                  <c:v>0.1168</c:v>
                </c:pt>
                <c:pt idx="30">
                  <c:v>0.1169</c:v>
                </c:pt>
                <c:pt idx="31">
                  <c:v>0.11219999999999999</c:v>
                </c:pt>
                <c:pt idx="32">
                  <c:v>0.11600000000000001</c:v>
                </c:pt>
                <c:pt idx="33">
                  <c:v>0.1169</c:v>
                </c:pt>
                <c:pt idx="34">
                  <c:v>0.1186</c:v>
                </c:pt>
                <c:pt idx="35">
                  <c:v>0.115</c:v>
                </c:pt>
                <c:pt idx="36">
                  <c:v>0.1202</c:v>
                </c:pt>
                <c:pt idx="37">
                  <c:v>0.1197</c:v>
                </c:pt>
                <c:pt idx="38">
                  <c:v>0.1198</c:v>
                </c:pt>
                <c:pt idx="39">
                  <c:v>0.11890000000000001</c:v>
                </c:pt>
                <c:pt idx="40">
                  <c:v>0.1201</c:v>
                </c:pt>
                <c:pt idx="41">
                  <c:v>0.1202</c:v>
                </c:pt>
                <c:pt idx="42">
                  <c:v>0.1222</c:v>
                </c:pt>
                <c:pt idx="43">
                  <c:v>0.1231</c:v>
                </c:pt>
                <c:pt idx="44">
                  <c:v>0.12039999999999999</c:v>
                </c:pt>
                <c:pt idx="45">
                  <c:v>0.12180000000000001</c:v>
                </c:pt>
                <c:pt idx="46">
                  <c:v>0.1227</c:v>
                </c:pt>
                <c:pt idx="47">
                  <c:v>0.12089999999999999</c:v>
                </c:pt>
                <c:pt idx="48">
                  <c:v>0.12230000000000001</c:v>
                </c:pt>
                <c:pt idx="49">
                  <c:v>0.1211</c:v>
                </c:pt>
                <c:pt idx="50">
                  <c:v>0.121</c:v>
                </c:pt>
                <c:pt idx="51">
                  <c:v>0.1226</c:v>
                </c:pt>
                <c:pt idx="52">
                  <c:v>0.124</c:v>
                </c:pt>
                <c:pt idx="53">
                  <c:v>0.122</c:v>
                </c:pt>
                <c:pt idx="54">
                  <c:v>0.124</c:v>
                </c:pt>
                <c:pt idx="55">
                  <c:v>0.12280000000000001</c:v>
                </c:pt>
                <c:pt idx="56">
                  <c:v>0.12230000000000001</c:v>
                </c:pt>
                <c:pt idx="57">
                  <c:v>0.1249</c:v>
                </c:pt>
                <c:pt idx="58">
                  <c:v>0.126</c:v>
                </c:pt>
                <c:pt idx="59">
                  <c:v>0.1249</c:v>
                </c:pt>
                <c:pt idx="60">
                  <c:v>0.1249</c:v>
                </c:pt>
                <c:pt idx="61">
                  <c:v>0.128</c:v>
                </c:pt>
                <c:pt idx="62">
                  <c:v>0.129</c:v>
                </c:pt>
                <c:pt idx="63">
                  <c:v>0.127</c:v>
                </c:pt>
                <c:pt idx="64">
                  <c:v>0.12559999999999999</c:v>
                </c:pt>
                <c:pt idx="65">
                  <c:v>0.1258</c:v>
                </c:pt>
                <c:pt idx="66">
                  <c:v>0.1278</c:v>
                </c:pt>
                <c:pt idx="67">
                  <c:v>0.1278</c:v>
                </c:pt>
                <c:pt idx="68">
                  <c:v>0.12709999999999999</c:v>
                </c:pt>
                <c:pt idx="69">
                  <c:v>0.1308</c:v>
                </c:pt>
                <c:pt idx="70">
                  <c:v>0.12740000000000001</c:v>
                </c:pt>
                <c:pt idx="71">
                  <c:v>0.128</c:v>
                </c:pt>
                <c:pt idx="72">
                  <c:v>0.1258</c:v>
                </c:pt>
                <c:pt idx="73">
                  <c:v>0.12720000000000001</c:v>
                </c:pt>
                <c:pt idx="74">
                  <c:v>0.12989999999999999</c:v>
                </c:pt>
                <c:pt idx="75">
                  <c:v>0.1308</c:v>
                </c:pt>
                <c:pt idx="76">
                  <c:v>0.1353</c:v>
                </c:pt>
                <c:pt idx="77">
                  <c:v>0.1358</c:v>
                </c:pt>
                <c:pt idx="78">
                  <c:v>0.12970000000000001</c:v>
                </c:pt>
                <c:pt idx="79">
                  <c:v>0.13370000000000001</c:v>
                </c:pt>
                <c:pt idx="80">
                  <c:v>0.1326</c:v>
                </c:pt>
                <c:pt idx="81">
                  <c:v>0.13350000000000001</c:v>
                </c:pt>
                <c:pt idx="82">
                  <c:v>0.1351</c:v>
                </c:pt>
                <c:pt idx="83">
                  <c:v>0.1305</c:v>
                </c:pt>
                <c:pt idx="84">
                  <c:v>0.1353</c:v>
                </c:pt>
                <c:pt idx="85">
                  <c:v>0.13469999999999999</c:v>
                </c:pt>
                <c:pt idx="86">
                  <c:v>0.1368</c:v>
                </c:pt>
                <c:pt idx="87">
                  <c:v>0.13569999999999999</c:v>
                </c:pt>
                <c:pt idx="88">
                  <c:v>0.13600000000000001</c:v>
                </c:pt>
                <c:pt idx="89">
                  <c:v>0.13730000000000001</c:v>
                </c:pt>
                <c:pt idx="90">
                  <c:v>0.13739999999999999</c:v>
                </c:pt>
                <c:pt idx="91">
                  <c:v>0.13689999999999999</c:v>
                </c:pt>
                <c:pt idx="92">
                  <c:v>0.13569999999999999</c:v>
                </c:pt>
                <c:pt idx="93">
                  <c:v>0.13619999999999999</c:v>
                </c:pt>
                <c:pt idx="94">
                  <c:v>0.13880000000000001</c:v>
                </c:pt>
                <c:pt idx="95">
                  <c:v>0.13830000000000001</c:v>
                </c:pt>
                <c:pt idx="96">
                  <c:v>0.1358</c:v>
                </c:pt>
                <c:pt idx="97">
                  <c:v>0.1371</c:v>
                </c:pt>
                <c:pt idx="98">
                  <c:v>0.13800000000000001</c:v>
                </c:pt>
                <c:pt idx="99">
                  <c:v>0.13900000000000001</c:v>
                </c:pt>
                <c:pt idx="100">
                  <c:v>0.13830000000000001</c:v>
                </c:pt>
                <c:pt idx="101">
                  <c:v>0.13719999999999999</c:v>
                </c:pt>
                <c:pt idx="102">
                  <c:v>0.13830000000000001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9-974E-BB15-C240DE440A27}"/>
            </c:ext>
          </c:extLst>
        </c:ser>
        <c:ser>
          <c:idx val="3"/>
          <c:order val="1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00B0F0"/>
              </a:solidFill>
              <a:ln>
                <a:solidFill>
                  <a:srgbClr val="FF1900"/>
                </a:solidFill>
                <a:prstDash val="solid"/>
              </a:ln>
            </c:spPr>
          </c:marker>
          <c:xVal>
            <c:numRef>
              <c:f>[6]Sheet1!$50:$50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[6]Sheet1!$52:$52</c:f>
              <c:numCache>
                <c:formatCode>General</c:formatCode>
                <c:ptCount val="16384"/>
                <c:pt idx="0">
                  <c:v>9.7299999999999998E-2</c:v>
                </c:pt>
                <c:pt idx="1">
                  <c:v>9.9900000000000003E-2</c:v>
                </c:pt>
                <c:pt idx="2">
                  <c:v>9.9500000000000005E-2</c:v>
                </c:pt>
                <c:pt idx="3">
                  <c:v>9.4700000000000006E-2</c:v>
                </c:pt>
                <c:pt idx="4">
                  <c:v>9.74E-2</c:v>
                </c:pt>
                <c:pt idx="5">
                  <c:v>9.6000000000000002E-2</c:v>
                </c:pt>
                <c:pt idx="6">
                  <c:v>9.8500000000000004E-2</c:v>
                </c:pt>
                <c:pt idx="7">
                  <c:v>0.1007</c:v>
                </c:pt>
                <c:pt idx="8">
                  <c:v>9.9599999999999994E-2</c:v>
                </c:pt>
                <c:pt idx="9">
                  <c:v>0.1</c:v>
                </c:pt>
                <c:pt idx="10">
                  <c:v>0.10100000000000001</c:v>
                </c:pt>
                <c:pt idx="11">
                  <c:v>0.1018</c:v>
                </c:pt>
                <c:pt idx="12">
                  <c:v>0.10100000000000001</c:v>
                </c:pt>
                <c:pt idx="13">
                  <c:v>0.10199999999999999</c:v>
                </c:pt>
                <c:pt idx="14">
                  <c:v>0.1004</c:v>
                </c:pt>
                <c:pt idx="15">
                  <c:v>0.1003</c:v>
                </c:pt>
                <c:pt idx="16">
                  <c:v>0.10100000000000001</c:v>
                </c:pt>
                <c:pt idx="17">
                  <c:v>9.8799999999999999E-2</c:v>
                </c:pt>
                <c:pt idx="18">
                  <c:v>9.7299999999999998E-2</c:v>
                </c:pt>
                <c:pt idx="19">
                  <c:v>9.7100000000000006E-2</c:v>
                </c:pt>
                <c:pt idx="20">
                  <c:v>9.7199999999999995E-2</c:v>
                </c:pt>
                <c:pt idx="21">
                  <c:v>9.8599999999999993E-2</c:v>
                </c:pt>
                <c:pt idx="22">
                  <c:v>9.8400000000000001E-2</c:v>
                </c:pt>
                <c:pt idx="23">
                  <c:v>0.10050000000000001</c:v>
                </c:pt>
                <c:pt idx="24">
                  <c:v>0.10050000000000001</c:v>
                </c:pt>
                <c:pt idx="25">
                  <c:v>0.10050000000000001</c:v>
                </c:pt>
                <c:pt idx="26">
                  <c:v>0.10249999999999999</c:v>
                </c:pt>
                <c:pt idx="27">
                  <c:v>0.1038</c:v>
                </c:pt>
                <c:pt idx="28">
                  <c:v>0.1012</c:v>
                </c:pt>
                <c:pt idx="29">
                  <c:v>0.1003</c:v>
                </c:pt>
                <c:pt idx="30">
                  <c:v>0.1014</c:v>
                </c:pt>
                <c:pt idx="31">
                  <c:v>0.1003</c:v>
                </c:pt>
                <c:pt idx="32">
                  <c:v>0.1003</c:v>
                </c:pt>
                <c:pt idx="33">
                  <c:v>0.10249999999999999</c:v>
                </c:pt>
                <c:pt idx="34">
                  <c:v>0.1037</c:v>
                </c:pt>
                <c:pt idx="35">
                  <c:v>0.1041</c:v>
                </c:pt>
                <c:pt idx="36">
                  <c:v>0.1061</c:v>
                </c:pt>
                <c:pt idx="37">
                  <c:v>0.10390000000000001</c:v>
                </c:pt>
                <c:pt idx="38">
                  <c:v>0.1053</c:v>
                </c:pt>
                <c:pt idx="39">
                  <c:v>0.104</c:v>
                </c:pt>
                <c:pt idx="40">
                  <c:v>0.1076</c:v>
                </c:pt>
                <c:pt idx="41">
                  <c:v>0.1056</c:v>
                </c:pt>
                <c:pt idx="42">
                  <c:v>0.1043</c:v>
                </c:pt>
                <c:pt idx="43">
                  <c:v>0.1051</c:v>
                </c:pt>
                <c:pt idx="44">
                  <c:v>0.1076</c:v>
                </c:pt>
                <c:pt idx="45">
                  <c:v>0.107</c:v>
                </c:pt>
                <c:pt idx="46">
                  <c:v>0.10780000000000001</c:v>
                </c:pt>
                <c:pt idx="47">
                  <c:v>0.11</c:v>
                </c:pt>
                <c:pt idx="48">
                  <c:v>0.10829999999999999</c:v>
                </c:pt>
                <c:pt idx="49">
                  <c:v>0.11</c:v>
                </c:pt>
                <c:pt idx="50">
                  <c:v>0.11169999999999999</c:v>
                </c:pt>
                <c:pt idx="51">
                  <c:v>0.11210000000000001</c:v>
                </c:pt>
                <c:pt idx="52">
                  <c:v>0.109</c:v>
                </c:pt>
                <c:pt idx="53">
                  <c:v>0.10920000000000001</c:v>
                </c:pt>
                <c:pt idx="54">
                  <c:v>0.111</c:v>
                </c:pt>
                <c:pt idx="55">
                  <c:v>0.11210000000000001</c:v>
                </c:pt>
                <c:pt idx="56">
                  <c:v>0.1119</c:v>
                </c:pt>
                <c:pt idx="57">
                  <c:v>0.1134</c:v>
                </c:pt>
                <c:pt idx="58">
                  <c:v>0.111</c:v>
                </c:pt>
                <c:pt idx="59">
                  <c:v>0.1115</c:v>
                </c:pt>
                <c:pt idx="60">
                  <c:v>0.11070000000000001</c:v>
                </c:pt>
                <c:pt idx="61">
                  <c:v>0.112</c:v>
                </c:pt>
                <c:pt idx="62">
                  <c:v>0.112</c:v>
                </c:pt>
                <c:pt idx="63">
                  <c:v>0.1116</c:v>
                </c:pt>
                <c:pt idx="64">
                  <c:v>0.11360000000000001</c:v>
                </c:pt>
                <c:pt idx="65">
                  <c:v>0.1129</c:v>
                </c:pt>
                <c:pt idx="66">
                  <c:v>0.1154</c:v>
                </c:pt>
                <c:pt idx="67">
                  <c:v>0.11310000000000001</c:v>
                </c:pt>
                <c:pt idx="68">
                  <c:v>0.1132</c:v>
                </c:pt>
                <c:pt idx="69">
                  <c:v>0.114</c:v>
                </c:pt>
                <c:pt idx="70">
                  <c:v>0.11609999999999999</c:v>
                </c:pt>
                <c:pt idx="71">
                  <c:v>0.1148</c:v>
                </c:pt>
                <c:pt idx="72">
                  <c:v>0.1172</c:v>
                </c:pt>
                <c:pt idx="73">
                  <c:v>0.1162</c:v>
                </c:pt>
                <c:pt idx="74">
                  <c:v>0.1174</c:v>
                </c:pt>
                <c:pt idx="75">
                  <c:v>0.11840000000000001</c:v>
                </c:pt>
                <c:pt idx="76">
                  <c:v>0.121</c:v>
                </c:pt>
                <c:pt idx="77">
                  <c:v>0.12</c:v>
                </c:pt>
                <c:pt idx="78">
                  <c:v>0.11899999999999999</c:v>
                </c:pt>
                <c:pt idx="79">
                  <c:v>0.12</c:v>
                </c:pt>
                <c:pt idx="80">
                  <c:v>0.121</c:v>
                </c:pt>
                <c:pt idx="81">
                  <c:v>0.12</c:v>
                </c:pt>
                <c:pt idx="82">
                  <c:v>0.11899999999999999</c:v>
                </c:pt>
                <c:pt idx="83">
                  <c:v>0.12</c:v>
                </c:pt>
                <c:pt idx="84">
                  <c:v>0.12</c:v>
                </c:pt>
                <c:pt idx="85">
                  <c:v>0.1249</c:v>
                </c:pt>
                <c:pt idx="86">
                  <c:v>0.126</c:v>
                </c:pt>
                <c:pt idx="87">
                  <c:v>0.1249</c:v>
                </c:pt>
                <c:pt idx="88">
                  <c:v>0.1265</c:v>
                </c:pt>
                <c:pt idx="89">
                  <c:v>0.12379999999999999</c:v>
                </c:pt>
                <c:pt idx="90">
                  <c:v>0.12670000000000001</c:v>
                </c:pt>
                <c:pt idx="91">
                  <c:v>0.1245</c:v>
                </c:pt>
                <c:pt idx="92">
                  <c:v>0.12470000000000001</c:v>
                </c:pt>
                <c:pt idx="93">
                  <c:v>0.12720000000000001</c:v>
                </c:pt>
                <c:pt idx="94">
                  <c:v>0.12770000000000001</c:v>
                </c:pt>
                <c:pt idx="95">
                  <c:v>0.1263</c:v>
                </c:pt>
                <c:pt idx="96">
                  <c:v>0.12790000000000001</c:v>
                </c:pt>
                <c:pt idx="97">
                  <c:v>0.1273</c:v>
                </c:pt>
                <c:pt idx="98">
                  <c:v>0.129</c:v>
                </c:pt>
                <c:pt idx="99">
                  <c:v>0.129</c:v>
                </c:pt>
                <c:pt idx="100">
                  <c:v>0.12790000000000001</c:v>
                </c:pt>
                <c:pt idx="101">
                  <c:v>0.128</c:v>
                </c:pt>
                <c:pt idx="102">
                  <c:v>0.12820000000000001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99-974E-BB15-C240DE440A27}"/>
            </c:ext>
          </c:extLst>
        </c:ser>
        <c:ser>
          <c:idx val="0"/>
          <c:order val="2"/>
          <c:spPr>
            <a:ln w="28575">
              <a:noFill/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[6]Sheet1!$60:$60</c:f>
              <c:numCache>
                <c:formatCode>General</c:formatCode>
                <c:ptCount val="16384"/>
                <c:pt idx="0">
                  <c:v>8.4099999999999994E-2</c:v>
                </c:pt>
                <c:pt idx="1">
                  <c:v>8.5300000000000001E-2</c:v>
                </c:pt>
                <c:pt idx="2">
                  <c:v>8.1799999999999998E-2</c:v>
                </c:pt>
                <c:pt idx="3">
                  <c:v>8.1699999999999995E-2</c:v>
                </c:pt>
                <c:pt idx="4">
                  <c:v>8.2100000000000006E-2</c:v>
                </c:pt>
                <c:pt idx="5">
                  <c:v>8.4099999999999994E-2</c:v>
                </c:pt>
                <c:pt idx="6">
                  <c:v>8.4199999999999997E-2</c:v>
                </c:pt>
                <c:pt idx="7">
                  <c:v>8.9399999999999993E-2</c:v>
                </c:pt>
                <c:pt idx="8">
                  <c:v>8.8099999999999998E-2</c:v>
                </c:pt>
                <c:pt idx="9">
                  <c:v>8.8700000000000001E-2</c:v>
                </c:pt>
                <c:pt idx="10">
                  <c:v>8.9399999999999993E-2</c:v>
                </c:pt>
                <c:pt idx="11">
                  <c:v>8.8700000000000001E-2</c:v>
                </c:pt>
                <c:pt idx="12">
                  <c:v>8.9499999999999996E-2</c:v>
                </c:pt>
                <c:pt idx="13">
                  <c:v>8.8999999999999996E-2</c:v>
                </c:pt>
                <c:pt idx="14">
                  <c:v>9.1700000000000004E-2</c:v>
                </c:pt>
                <c:pt idx="15">
                  <c:v>9.0399999999999994E-2</c:v>
                </c:pt>
                <c:pt idx="16">
                  <c:v>9.1700000000000004E-2</c:v>
                </c:pt>
                <c:pt idx="17">
                  <c:v>9.3600000000000003E-2</c:v>
                </c:pt>
                <c:pt idx="18">
                  <c:v>9.5200000000000007E-2</c:v>
                </c:pt>
                <c:pt idx="19">
                  <c:v>9.7100000000000006E-2</c:v>
                </c:pt>
                <c:pt idx="20">
                  <c:v>0.1033</c:v>
                </c:pt>
                <c:pt idx="21">
                  <c:v>0.1061</c:v>
                </c:pt>
                <c:pt idx="22">
                  <c:v>0.11119999999999999</c:v>
                </c:pt>
                <c:pt idx="23">
                  <c:v>0.1149</c:v>
                </c:pt>
                <c:pt idx="24">
                  <c:v>0.1164</c:v>
                </c:pt>
                <c:pt idx="25">
                  <c:v>0.12130000000000001</c:v>
                </c:pt>
                <c:pt idx="26">
                  <c:v>0.12640000000000001</c:v>
                </c:pt>
                <c:pt idx="27">
                  <c:v>0.13320000000000001</c:v>
                </c:pt>
                <c:pt idx="28">
                  <c:v>0.1313</c:v>
                </c:pt>
                <c:pt idx="29">
                  <c:v>0.1406</c:v>
                </c:pt>
                <c:pt idx="30">
                  <c:v>0.1459</c:v>
                </c:pt>
                <c:pt idx="31">
                  <c:v>0.1492</c:v>
                </c:pt>
                <c:pt idx="32">
                  <c:v>0.14680000000000001</c:v>
                </c:pt>
                <c:pt idx="33">
                  <c:v>0.14899999999999999</c:v>
                </c:pt>
                <c:pt idx="34">
                  <c:v>0.1515</c:v>
                </c:pt>
                <c:pt idx="35">
                  <c:v>0.15670000000000001</c:v>
                </c:pt>
                <c:pt idx="36">
                  <c:v>0.16139999999999999</c:v>
                </c:pt>
                <c:pt idx="37">
                  <c:v>0.1641</c:v>
                </c:pt>
                <c:pt idx="38">
                  <c:v>0.1691</c:v>
                </c:pt>
                <c:pt idx="39">
                  <c:v>0.1734</c:v>
                </c:pt>
                <c:pt idx="40">
                  <c:v>0.17499999999999999</c:v>
                </c:pt>
                <c:pt idx="41">
                  <c:v>0.17699999999999999</c:v>
                </c:pt>
                <c:pt idx="42">
                  <c:v>0.1812</c:v>
                </c:pt>
                <c:pt idx="43">
                  <c:v>0.18240000000000001</c:v>
                </c:pt>
                <c:pt idx="44">
                  <c:v>0.18779999999999999</c:v>
                </c:pt>
                <c:pt idx="45">
                  <c:v>0.19589999999999999</c:v>
                </c:pt>
                <c:pt idx="46">
                  <c:v>0.1946</c:v>
                </c:pt>
                <c:pt idx="47">
                  <c:v>0.20050000000000001</c:v>
                </c:pt>
                <c:pt idx="48">
                  <c:v>0.19620000000000001</c:v>
                </c:pt>
                <c:pt idx="49">
                  <c:v>0.20630000000000001</c:v>
                </c:pt>
                <c:pt idx="50">
                  <c:v>0.2034</c:v>
                </c:pt>
                <c:pt idx="51">
                  <c:v>0.2054</c:v>
                </c:pt>
                <c:pt idx="52">
                  <c:v>0.20630000000000001</c:v>
                </c:pt>
                <c:pt idx="53">
                  <c:v>0.20780000000000001</c:v>
                </c:pt>
                <c:pt idx="54">
                  <c:v>0.21310000000000001</c:v>
                </c:pt>
                <c:pt idx="55">
                  <c:v>0.21060000000000001</c:v>
                </c:pt>
                <c:pt idx="56">
                  <c:v>0.2122</c:v>
                </c:pt>
                <c:pt idx="57">
                  <c:v>0.21410000000000001</c:v>
                </c:pt>
                <c:pt idx="58">
                  <c:v>0.22370000000000001</c:v>
                </c:pt>
                <c:pt idx="59">
                  <c:v>0.21820000000000001</c:v>
                </c:pt>
                <c:pt idx="60">
                  <c:v>0.21940000000000001</c:v>
                </c:pt>
                <c:pt idx="61">
                  <c:v>0.2205</c:v>
                </c:pt>
                <c:pt idx="62">
                  <c:v>0.22700000000000001</c:v>
                </c:pt>
                <c:pt idx="63">
                  <c:v>0.22040000000000001</c:v>
                </c:pt>
                <c:pt idx="64">
                  <c:v>0.2225</c:v>
                </c:pt>
                <c:pt idx="65">
                  <c:v>0.22459999999999999</c:v>
                </c:pt>
                <c:pt idx="66">
                  <c:v>0.22500000000000001</c:v>
                </c:pt>
                <c:pt idx="67">
                  <c:v>0.22559999999999999</c:v>
                </c:pt>
                <c:pt idx="68">
                  <c:v>0.2276</c:v>
                </c:pt>
                <c:pt idx="69">
                  <c:v>0.23719999999999999</c:v>
                </c:pt>
                <c:pt idx="70">
                  <c:v>0.23039999999999999</c:v>
                </c:pt>
                <c:pt idx="71">
                  <c:v>0.22950000000000001</c:v>
                </c:pt>
                <c:pt idx="72">
                  <c:v>0.23469999999999999</c:v>
                </c:pt>
                <c:pt idx="73">
                  <c:v>0.2334</c:v>
                </c:pt>
                <c:pt idx="74">
                  <c:v>0.2349</c:v>
                </c:pt>
                <c:pt idx="75">
                  <c:v>0.23669999999999999</c:v>
                </c:pt>
                <c:pt idx="76">
                  <c:v>0.2394</c:v>
                </c:pt>
                <c:pt idx="77">
                  <c:v>0.2397</c:v>
                </c:pt>
                <c:pt idx="78">
                  <c:v>0.23569999999999999</c:v>
                </c:pt>
                <c:pt idx="79">
                  <c:v>0.24299999999999999</c:v>
                </c:pt>
                <c:pt idx="80">
                  <c:v>0.24079999999999999</c:v>
                </c:pt>
                <c:pt idx="81">
                  <c:v>0.2422</c:v>
                </c:pt>
                <c:pt idx="82">
                  <c:v>0.2487</c:v>
                </c:pt>
                <c:pt idx="83">
                  <c:v>0.23860000000000001</c:v>
                </c:pt>
                <c:pt idx="84">
                  <c:v>0.2409</c:v>
                </c:pt>
                <c:pt idx="85">
                  <c:v>0.2407</c:v>
                </c:pt>
                <c:pt idx="86">
                  <c:v>0.2414</c:v>
                </c:pt>
                <c:pt idx="87">
                  <c:v>0.2445</c:v>
                </c:pt>
                <c:pt idx="88">
                  <c:v>0.2429</c:v>
                </c:pt>
                <c:pt idx="89">
                  <c:v>0.24390000000000001</c:v>
                </c:pt>
                <c:pt idx="90">
                  <c:v>0.2409</c:v>
                </c:pt>
                <c:pt idx="91">
                  <c:v>0.24540000000000001</c:v>
                </c:pt>
                <c:pt idx="92">
                  <c:v>0.24460000000000001</c:v>
                </c:pt>
                <c:pt idx="93">
                  <c:v>0.24410000000000001</c:v>
                </c:pt>
                <c:pt idx="94">
                  <c:v>0.24260000000000001</c:v>
                </c:pt>
                <c:pt idx="95">
                  <c:v>0.2422</c:v>
                </c:pt>
                <c:pt idx="96">
                  <c:v>0.245</c:v>
                </c:pt>
                <c:pt idx="97">
                  <c:v>0.2442</c:v>
                </c:pt>
                <c:pt idx="98">
                  <c:v>0.24099999999999999</c:v>
                </c:pt>
                <c:pt idx="99">
                  <c:v>0.24199999999999999</c:v>
                </c:pt>
                <c:pt idx="100">
                  <c:v>0.24399999999999999</c:v>
                </c:pt>
                <c:pt idx="101">
                  <c:v>0.24099999999999999</c:v>
                </c:pt>
                <c:pt idx="102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99-974E-BB15-C240DE440A27}"/>
            </c:ext>
          </c:extLst>
        </c:ser>
        <c:ser>
          <c:idx val="1"/>
          <c:order val="3"/>
          <c:spPr>
            <a:ln w="25400">
              <a:solidFill>
                <a:srgbClr val="993366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00"/>
              </a:solidFill>
            </c:spPr>
          </c:marker>
          <c:xVal>
            <c:numRef>
              <c:f>[6]Sheet1!$50:$50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[6]Sheet1!$53:$53</c:f>
              <c:numCache>
                <c:formatCode>General</c:formatCode>
                <c:ptCount val="16384"/>
                <c:pt idx="0">
                  <c:v>8.4099999999999994E-2</c:v>
                </c:pt>
                <c:pt idx="1">
                  <c:v>8.5300000000000001E-2</c:v>
                </c:pt>
                <c:pt idx="2">
                  <c:v>8.1799999999999998E-2</c:v>
                </c:pt>
                <c:pt idx="3">
                  <c:v>9.1700000000000004E-2</c:v>
                </c:pt>
                <c:pt idx="4">
                  <c:v>9.2100000000000001E-2</c:v>
                </c:pt>
                <c:pt idx="5">
                  <c:v>9.4100000000000003E-2</c:v>
                </c:pt>
                <c:pt idx="6">
                  <c:v>9.4200000000000006E-2</c:v>
                </c:pt>
                <c:pt idx="7">
                  <c:v>9.9400000000000002E-2</c:v>
                </c:pt>
                <c:pt idx="8">
                  <c:v>9.8100000000000007E-2</c:v>
                </c:pt>
                <c:pt idx="9">
                  <c:v>9.8699999999999996E-2</c:v>
                </c:pt>
                <c:pt idx="10">
                  <c:v>9.9400000000000002E-2</c:v>
                </c:pt>
                <c:pt idx="11">
                  <c:v>9.8699999999999996E-2</c:v>
                </c:pt>
                <c:pt idx="12">
                  <c:v>9.9500000000000005E-2</c:v>
                </c:pt>
                <c:pt idx="13">
                  <c:v>9.9000000000000005E-2</c:v>
                </c:pt>
                <c:pt idx="14">
                  <c:v>9.9699999999999997E-2</c:v>
                </c:pt>
                <c:pt idx="15">
                  <c:v>9.9400000000000002E-2</c:v>
                </c:pt>
                <c:pt idx="16">
                  <c:v>9.9699999999999997E-2</c:v>
                </c:pt>
                <c:pt idx="17">
                  <c:v>9.9599999999999994E-2</c:v>
                </c:pt>
                <c:pt idx="18">
                  <c:v>0.1052</c:v>
                </c:pt>
                <c:pt idx="19">
                  <c:v>0.10971</c:v>
                </c:pt>
                <c:pt idx="20">
                  <c:v>0.10929999999999999</c:v>
                </c:pt>
                <c:pt idx="21">
                  <c:v>0.11609999999999999</c:v>
                </c:pt>
                <c:pt idx="22">
                  <c:v>0.122</c:v>
                </c:pt>
                <c:pt idx="23">
                  <c:v>0.1249</c:v>
                </c:pt>
                <c:pt idx="24">
                  <c:v>0.12640000000000001</c:v>
                </c:pt>
                <c:pt idx="25">
                  <c:v>0.127</c:v>
                </c:pt>
                <c:pt idx="26">
                  <c:v>0.127</c:v>
                </c:pt>
                <c:pt idx="27">
                  <c:v>0.128</c:v>
                </c:pt>
                <c:pt idx="28">
                  <c:v>0.129</c:v>
                </c:pt>
                <c:pt idx="29">
                  <c:v>0.13</c:v>
                </c:pt>
                <c:pt idx="30">
                  <c:v>0.13200000000000001</c:v>
                </c:pt>
                <c:pt idx="31">
                  <c:v>0.13492000000000001</c:v>
                </c:pt>
                <c:pt idx="32">
                  <c:v>0.1368</c:v>
                </c:pt>
                <c:pt idx="33">
                  <c:v>0.13700000000000001</c:v>
                </c:pt>
                <c:pt idx="34">
                  <c:v>0.13900000000000001</c:v>
                </c:pt>
                <c:pt idx="35">
                  <c:v>0.14099999999999999</c:v>
                </c:pt>
                <c:pt idx="36">
                  <c:v>0.14299999999999999</c:v>
                </c:pt>
                <c:pt idx="37">
                  <c:v>0.14410000000000001</c:v>
                </c:pt>
                <c:pt idx="38">
                  <c:v>0.14910000000000001</c:v>
                </c:pt>
                <c:pt idx="39">
                  <c:v>0.151</c:v>
                </c:pt>
                <c:pt idx="40">
                  <c:v>0.153</c:v>
                </c:pt>
                <c:pt idx="41">
                  <c:v>0.154</c:v>
                </c:pt>
                <c:pt idx="42">
                  <c:v>0.155</c:v>
                </c:pt>
                <c:pt idx="43">
                  <c:v>0.158</c:v>
                </c:pt>
                <c:pt idx="44">
                  <c:v>0.159</c:v>
                </c:pt>
                <c:pt idx="45">
                  <c:v>0.161</c:v>
                </c:pt>
                <c:pt idx="46">
                  <c:v>0.16400000000000001</c:v>
                </c:pt>
                <c:pt idx="47">
                  <c:v>0.16700000000000001</c:v>
                </c:pt>
                <c:pt idx="48">
                  <c:v>0.16900000000000001</c:v>
                </c:pt>
                <c:pt idx="49">
                  <c:v>0.16900000000000001</c:v>
                </c:pt>
                <c:pt idx="50">
                  <c:v>0.1724</c:v>
                </c:pt>
                <c:pt idx="51">
                  <c:v>0.1754</c:v>
                </c:pt>
                <c:pt idx="52">
                  <c:v>0.17910000000000001</c:v>
                </c:pt>
                <c:pt idx="53">
                  <c:v>0.182</c:v>
                </c:pt>
                <c:pt idx="54">
                  <c:v>0.18310000000000001</c:v>
                </c:pt>
                <c:pt idx="55">
                  <c:v>0.186</c:v>
                </c:pt>
                <c:pt idx="56">
                  <c:v>0.189</c:v>
                </c:pt>
                <c:pt idx="57">
                  <c:v>0.18940000000000001</c:v>
                </c:pt>
                <c:pt idx="58">
                  <c:v>0.18990000000000001</c:v>
                </c:pt>
                <c:pt idx="59">
                  <c:v>0.192</c:v>
                </c:pt>
                <c:pt idx="60">
                  <c:v>0.19400000000000001</c:v>
                </c:pt>
                <c:pt idx="61">
                  <c:v>0.19500000000000001</c:v>
                </c:pt>
                <c:pt idx="62">
                  <c:v>0.19600000000000001</c:v>
                </c:pt>
                <c:pt idx="63">
                  <c:v>0.19667000000000001</c:v>
                </c:pt>
                <c:pt idx="64">
                  <c:v>0.19800000000000001</c:v>
                </c:pt>
                <c:pt idx="65">
                  <c:v>0.2</c:v>
                </c:pt>
                <c:pt idx="66">
                  <c:v>0.20300000000000001</c:v>
                </c:pt>
                <c:pt idx="67">
                  <c:v>0.20399999999999999</c:v>
                </c:pt>
                <c:pt idx="68">
                  <c:v>0.20799999999999999</c:v>
                </c:pt>
                <c:pt idx="69">
                  <c:v>0.2072</c:v>
                </c:pt>
                <c:pt idx="70">
                  <c:v>0.20944299999999999</c:v>
                </c:pt>
                <c:pt idx="71">
                  <c:v>0.20949999999999999</c:v>
                </c:pt>
                <c:pt idx="72">
                  <c:v>0.21103</c:v>
                </c:pt>
                <c:pt idx="73">
                  <c:v>0.21103</c:v>
                </c:pt>
                <c:pt idx="74">
                  <c:v>0.21123</c:v>
                </c:pt>
                <c:pt idx="75">
                  <c:v>0.21167</c:v>
                </c:pt>
                <c:pt idx="76">
                  <c:v>0.21293999999999999</c:v>
                </c:pt>
                <c:pt idx="77">
                  <c:v>0.21307000000000001</c:v>
                </c:pt>
                <c:pt idx="78">
                  <c:v>0.21357000000000001</c:v>
                </c:pt>
                <c:pt idx="79">
                  <c:v>0.21429999999999999</c:v>
                </c:pt>
                <c:pt idx="80">
                  <c:v>0.21407999999999999</c:v>
                </c:pt>
                <c:pt idx="81">
                  <c:v>0.213922</c:v>
                </c:pt>
                <c:pt idx="82">
                  <c:v>0.21487000000000001</c:v>
                </c:pt>
                <c:pt idx="83">
                  <c:v>0.21385999999999999</c:v>
                </c:pt>
                <c:pt idx="84">
                  <c:v>0.21423300000000001</c:v>
                </c:pt>
                <c:pt idx="85">
                  <c:v>0.21407000000000001</c:v>
                </c:pt>
                <c:pt idx="86">
                  <c:v>0.21493799999999999</c:v>
                </c:pt>
                <c:pt idx="87">
                  <c:v>0.21445</c:v>
                </c:pt>
                <c:pt idx="88">
                  <c:v>0.21429000000000001</c:v>
                </c:pt>
                <c:pt idx="89">
                  <c:v>0.21439</c:v>
                </c:pt>
                <c:pt idx="90">
                  <c:v>0.21409</c:v>
                </c:pt>
                <c:pt idx="91">
                  <c:v>0.21454000000000001</c:v>
                </c:pt>
                <c:pt idx="92">
                  <c:v>0.21446000000000001</c:v>
                </c:pt>
                <c:pt idx="93">
                  <c:v>0.21440999999999999</c:v>
                </c:pt>
                <c:pt idx="94">
                  <c:v>0.21423400000000001</c:v>
                </c:pt>
                <c:pt idx="95">
                  <c:v>0.21434420000000001</c:v>
                </c:pt>
                <c:pt idx="96">
                  <c:v>0.21423449999999999</c:v>
                </c:pt>
                <c:pt idx="97">
                  <c:v>0.21433442</c:v>
                </c:pt>
                <c:pt idx="98">
                  <c:v>0.21434510000000001</c:v>
                </c:pt>
                <c:pt idx="99">
                  <c:v>0.21445420000000001</c:v>
                </c:pt>
                <c:pt idx="100">
                  <c:v>0.21355440000000001</c:v>
                </c:pt>
                <c:pt idx="101">
                  <c:v>0.213895</c:v>
                </c:pt>
                <c:pt idx="102">
                  <c:v>0.2142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99-974E-BB15-C240DE440A27}"/>
            </c:ext>
          </c:extLst>
        </c:ser>
        <c:ser>
          <c:idx val="4"/>
          <c:order val="4"/>
          <c:spPr>
            <a:ln w="25400">
              <a:solidFill>
                <a:srgbClr val="4FFFC4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E46C0A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[6]Sheet1!$55:$55</c:f>
              <c:numCache>
                <c:formatCode>General</c:formatCode>
                <c:ptCount val="16384"/>
                <c:pt idx="0">
                  <c:v>9.4100000000000003E-2</c:v>
                </c:pt>
                <c:pt idx="1">
                  <c:v>9.5299999999999996E-2</c:v>
                </c:pt>
                <c:pt idx="2">
                  <c:v>9.8799999999999999E-2</c:v>
                </c:pt>
                <c:pt idx="3">
                  <c:v>9.8169999999999993E-2</c:v>
                </c:pt>
                <c:pt idx="4">
                  <c:v>9.8210000000000006E-2</c:v>
                </c:pt>
                <c:pt idx="5">
                  <c:v>9.8409999999999997E-2</c:v>
                </c:pt>
                <c:pt idx="6">
                  <c:v>9.8419999999999994E-2</c:v>
                </c:pt>
                <c:pt idx="7">
                  <c:v>9.894E-2</c:v>
                </c:pt>
                <c:pt idx="8">
                  <c:v>9.8809999999999995E-2</c:v>
                </c:pt>
                <c:pt idx="9">
                  <c:v>9.887E-2</c:v>
                </c:pt>
                <c:pt idx="10">
                  <c:v>9.894E-2</c:v>
                </c:pt>
                <c:pt idx="11">
                  <c:v>9.887E-2</c:v>
                </c:pt>
                <c:pt idx="12">
                  <c:v>9.9000000000000005E-2</c:v>
                </c:pt>
                <c:pt idx="13">
                  <c:v>0.1089</c:v>
                </c:pt>
                <c:pt idx="14">
                  <c:v>0.10917</c:v>
                </c:pt>
                <c:pt idx="15">
                  <c:v>0.10904</c:v>
                </c:pt>
                <c:pt idx="16">
                  <c:v>0.112</c:v>
                </c:pt>
                <c:pt idx="17">
                  <c:v>0.11360000000000001</c:v>
                </c:pt>
                <c:pt idx="18">
                  <c:v>0.1152</c:v>
                </c:pt>
                <c:pt idx="19">
                  <c:v>0.1171</c:v>
                </c:pt>
                <c:pt idx="20">
                  <c:v>0.1118</c:v>
                </c:pt>
                <c:pt idx="21">
                  <c:v>0.11609999999999999</c:v>
                </c:pt>
                <c:pt idx="22">
                  <c:v>0.11700000000000001</c:v>
                </c:pt>
                <c:pt idx="23">
                  <c:v>0.11899999999999999</c:v>
                </c:pt>
                <c:pt idx="24">
                  <c:v>0.12</c:v>
                </c:pt>
                <c:pt idx="25">
                  <c:v>0.122</c:v>
                </c:pt>
                <c:pt idx="26">
                  <c:v>0.124</c:v>
                </c:pt>
                <c:pt idx="27">
                  <c:v>0.125</c:v>
                </c:pt>
                <c:pt idx="28">
                  <c:v>0.126</c:v>
                </c:pt>
                <c:pt idx="29">
                  <c:v>0.1265</c:v>
                </c:pt>
                <c:pt idx="30">
                  <c:v>0.12609999999999999</c:v>
                </c:pt>
                <c:pt idx="31">
                  <c:v>0.12720000000000001</c:v>
                </c:pt>
                <c:pt idx="32">
                  <c:v>0.128</c:v>
                </c:pt>
                <c:pt idx="33">
                  <c:v>0.128</c:v>
                </c:pt>
                <c:pt idx="34">
                  <c:v>0.12914999999999999</c:v>
                </c:pt>
                <c:pt idx="35">
                  <c:v>0.12970000000000001</c:v>
                </c:pt>
                <c:pt idx="36">
                  <c:v>0.13014000000000001</c:v>
                </c:pt>
                <c:pt idx="37">
                  <c:v>0.13064100000000001</c:v>
                </c:pt>
                <c:pt idx="38">
                  <c:v>0.1321</c:v>
                </c:pt>
                <c:pt idx="39">
                  <c:v>0.13322329999999999</c:v>
                </c:pt>
                <c:pt idx="40">
                  <c:v>0.13395000000000001</c:v>
                </c:pt>
                <c:pt idx="41">
                  <c:v>0.13700000000000001</c:v>
                </c:pt>
                <c:pt idx="42">
                  <c:v>0.13819999999999999</c:v>
                </c:pt>
                <c:pt idx="43">
                  <c:v>0.13924</c:v>
                </c:pt>
                <c:pt idx="44">
                  <c:v>0.13977999999999999</c:v>
                </c:pt>
                <c:pt idx="45">
                  <c:v>0.1409</c:v>
                </c:pt>
                <c:pt idx="46">
                  <c:v>0.14460000000000001</c:v>
                </c:pt>
                <c:pt idx="47">
                  <c:v>0.14449999999999999</c:v>
                </c:pt>
                <c:pt idx="48">
                  <c:v>0.1462</c:v>
                </c:pt>
                <c:pt idx="49">
                  <c:v>0.14630000000000001</c:v>
                </c:pt>
                <c:pt idx="50">
                  <c:v>0.14734</c:v>
                </c:pt>
                <c:pt idx="51">
                  <c:v>0.1489</c:v>
                </c:pt>
                <c:pt idx="52">
                  <c:v>0.15129999999999999</c:v>
                </c:pt>
                <c:pt idx="53">
                  <c:v>0.15207799999999999</c:v>
                </c:pt>
                <c:pt idx="54">
                  <c:v>0.15310000000000001</c:v>
                </c:pt>
                <c:pt idx="55">
                  <c:v>0.15406</c:v>
                </c:pt>
                <c:pt idx="56">
                  <c:v>0.1552</c:v>
                </c:pt>
                <c:pt idx="57">
                  <c:v>0.15740999999999999</c:v>
                </c:pt>
                <c:pt idx="58">
                  <c:v>0.15970000000000001</c:v>
                </c:pt>
                <c:pt idx="59">
                  <c:v>0.16281999999999999</c:v>
                </c:pt>
                <c:pt idx="60">
                  <c:v>0.16344</c:v>
                </c:pt>
                <c:pt idx="61">
                  <c:v>0.16500000000000001</c:v>
                </c:pt>
                <c:pt idx="62">
                  <c:v>0.16900000000000001</c:v>
                </c:pt>
                <c:pt idx="63">
                  <c:v>0.16600000000000001</c:v>
                </c:pt>
                <c:pt idx="64">
                  <c:v>0.16722500000000001</c:v>
                </c:pt>
                <c:pt idx="65">
                  <c:v>0.16700000000000001</c:v>
                </c:pt>
                <c:pt idx="66">
                  <c:v>0.16800000000000001</c:v>
                </c:pt>
                <c:pt idx="67">
                  <c:v>0.16900000000000001</c:v>
                </c:pt>
                <c:pt idx="68">
                  <c:v>0.17</c:v>
                </c:pt>
                <c:pt idx="69">
                  <c:v>0.17199999999999999</c:v>
                </c:pt>
                <c:pt idx="70">
                  <c:v>0.17230000000000001</c:v>
                </c:pt>
                <c:pt idx="71">
                  <c:v>0.17299999999999999</c:v>
                </c:pt>
                <c:pt idx="72">
                  <c:v>0.17347000000000001</c:v>
                </c:pt>
                <c:pt idx="73">
                  <c:v>0.17533399999999999</c:v>
                </c:pt>
                <c:pt idx="74">
                  <c:v>0.17649000000000001</c:v>
                </c:pt>
                <c:pt idx="75">
                  <c:v>0.17799999999999999</c:v>
                </c:pt>
                <c:pt idx="76">
                  <c:v>0.17899999999999999</c:v>
                </c:pt>
                <c:pt idx="77">
                  <c:v>0.17899999999999999</c:v>
                </c:pt>
                <c:pt idx="78">
                  <c:v>0.18110000000000001</c:v>
                </c:pt>
                <c:pt idx="79">
                  <c:v>0.18223</c:v>
                </c:pt>
                <c:pt idx="80">
                  <c:v>0.18407999999999999</c:v>
                </c:pt>
                <c:pt idx="81">
                  <c:v>0.18720000000000001</c:v>
                </c:pt>
                <c:pt idx="82">
                  <c:v>0.186</c:v>
                </c:pt>
                <c:pt idx="83">
                  <c:v>0.186</c:v>
                </c:pt>
                <c:pt idx="84">
                  <c:v>0.187</c:v>
                </c:pt>
                <c:pt idx="85">
                  <c:v>0.18407000000000001</c:v>
                </c:pt>
                <c:pt idx="86">
                  <c:v>0.18522</c:v>
                </c:pt>
                <c:pt idx="87">
                  <c:v>0.18445</c:v>
                </c:pt>
                <c:pt idx="88">
                  <c:v>0.18542900000000001</c:v>
                </c:pt>
                <c:pt idx="89">
                  <c:v>0.18440000000000001</c:v>
                </c:pt>
                <c:pt idx="90">
                  <c:v>0.18490000000000001</c:v>
                </c:pt>
                <c:pt idx="91">
                  <c:v>0.18454000000000001</c:v>
                </c:pt>
                <c:pt idx="92">
                  <c:v>0.18446000000000001</c:v>
                </c:pt>
                <c:pt idx="93">
                  <c:v>0.18440999999999999</c:v>
                </c:pt>
                <c:pt idx="94">
                  <c:v>0.182426</c:v>
                </c:pt>
                <c:pt idx="95">
                  <c:v>0.18421999999999999</c:v>
                </c:pt>
                <c:pt idx="96">
                  <c:v>0.1845</c:v>
                </c:pt>
                <c:pt idx="97">
                  <c:v>0.18442</c:v>
                </c:pt>
                <c:pt idx="98">
                  <c:v>0.18410000000000001</c:v>
                </c:pt>
                <c:pt idx="99">
                  <c:v>0.1842</c:v>
                </c:pt>
                <c:pt idx="100">
                  <c:v>0.18440000000000001</c:v>
                </c:pt>
                <c:pt idx="101">
                  <c:v>0.18340999999999999</c:v>
                </c:pt>
                <c:pt idx="102">
                  <c:v>0.18242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99-974E-BB15-C240DE44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844424"/>
        <c:axId val="2092869656"/>
      </c:scatterChart>
      <c:valAx>
        <c:axId val="2092844424"/>
        <c:scaling>
          <c:orientation val="minMax"/>
          <c:max val="1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869656"/>
        <c:crosses val="autoZero"/>
        <c:crossBetween val="midCat"/>
      </c:valAx>
      <c:valAx>
        <c:axId val="2092869656"/>
        <c:scaling>
          <c:orientation val="minMax"/>
          <c:max val="0.3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844424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NMNAT1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625"/>
          <c:y val="5.0359712230215799E-2"/>
          <c:w val="0.82499999999999996"/>
          <c:h val="0.823741007194245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00B0F0"/>
              </a:solidFill>
              <a:ln>
                <a:solidFill>
                  <a:srgbClr val="FF1900"/>
                </a:solidFill>
                <a:prstDash val="solid"/>
              </a:ln>
            </c:spPr>
          </c:marker>
          <c:xVal>
            <c:numRef>
              <c:f>[6]Sheet1!$A$57:$DB$57</c:f>
              <c:numCache>
                <c:formatCode>General</c:formatCode>
                <c:ptCount val="106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[6]Sheet1!$A$58:$DB$58</c:f>
              <c:numCache>
                <c:formatCode>General</c:formatCode>
                <c:ptCount val="106"/>
                <c:pt idx="0">
                  <c:v>8.5999999999999993E-2</c:v>
                </c:pt>
                <c:pt idx="1">
                  <c:v>0.1055</c:v>
                </c:pt>
                <c:pt idx="2">
                  <c:v>0.1075</c:v>
                </c:pt>
                <c:pt idx="3">
                  <c:v>0.1053</c:v>
                </c:pt>
                <c:pt idx="4">
                  <c:v>0.10879999999999999</c:v>
                </c:pt>
                <c:pt idx="5">
                  <c:v>0.10970000000000001</c:v>
                </c:pt>
                <c:pt idx="6">
                  <c:v>0.1089</c:v>
                </c:pt>
                <c:pt idx="7">
                  <c:v>0.1118</c:v>
                </c:pt>
                <c:pt idx="8">
                  <c:v>0.1108</c:v>
                </c:pt>
                <c:pt idx="9">
                  <c:v>0.1085</c:v>
                </c:pt>
                <c:pt idx="10">
                  <c:v>0.1111</c:v>
                </c:pt>
                <c:pt idx="11">
                  <c:v>0.1118</c:v>
                </c:pt>
                <c:pt idx="12">
                  <c:v>0.1124</c:v>
                </c:pt>
                <c:pt idx="13">
                  <c:v>0.115</c:v>
                </c:pt>
                <c:pt idx="14">
                  <c:v>0.11260000000000001</c:v>
                </c:pt>
                <c:pt idx="15">
                  <c:v>0.11219999999999999</c:v>
                </c:pt>
                <c:pt idx="16">
                  <c:v>0.11260000000000001</c:v>
                </c:pt>
                <c:pt idx="17">
                  <c:v>0.1144</c:v>
                </c:pt>
                <c:pt idx="18">
                  <c:v>0.11559999999999999</c:v>
                </c:pt>
                <c:pt idx="19">
                  <c:v>0.1163</c:v>
                </c:pt>
                <c:pt idx="20">
                  <c:v>0.1196</c:v>
                </c:pt>
                <c:pt idx="21">
                  <c:v>0.1179</c:v>
                </c:pt>
                <c:pt idx="22">
                  <c:v>0.11799999999999999</c:v>
                </c:pt>
                <c:pt idx="23">
                  <c:v>0.1201</c:v>
                </c:pt>
                <c:pt idx="24">
                  <c:v>0.1193</c:v>
                </c:pt>
                <c:pt idx="25">
                  <c:v>0.1215</c:v>
                </c:pt>
                <c:pt idx="26">
                  <c:v>0.1205</c:v>
                </c:pt>
                <c:pt idx="27">
                  <c:v>0.12640000000000001</c:v>
                </c:pt>
                <c:pt idx="28">
                  <c:v>0.1212</c:v>
                </c:pt>
                <c:pt idx="29">
                  <c:v>0.12230000000000001</c:v>
                </c:pt>
                <c:pt idx="30">
                  <c:v>0.1212</c:v>
                </c:pt>
                <c:pt idx="31">
                  <c:v>0.1216</c:v>
                </c:pt>
                <c:pt idx="32">
                  <c:v>0.1216</c:v>
                </c:pt>
                <c:pt idx="33">
                  <c:v>0.12230000000000001</c:v>
                </c:pt>
                <c:pt idx="34">
                  <c:v>0.1227</c:v>
                </c:pt>
                <c:pt idx="35">
                  <c:v>0.1176</c:v>
                </c:pt>
                <c:pt idx="36">
                  <c:v>0.1236</c:v>
                </c:pt>
                <c:pt idx="37">
                  <c:v>0.12570000000000001</c:v>
                </c:pt>
                <c:pt idx="38">
                  <c:v>0.12640000000000001</c:v>
                </c:pt>
                <c:pt idx="39">
                  <c:v>0.12559999999999999</c:v>
                </c:pt>
                <c:pt idx="40">
                  <c:v>0.1244</c:v>
                </c:pt>
                <c:pt idx="41">
                  <c:v>0.124</c:v>
                </c:pt>
                <c:pt idx="42">
                  <c:v>0.1265</c:v>
                </c:pt>
                <c:pt idx="43">
                  <c:v>0.12540000000000001</c:v>
                </c:pt>
                <c:pt idx="44">
                  <c:v>0.12740000000000001</c:v>
                </c:pt>
                <c:pt idx="45">
                  <c:v>0.13089999999999999</c:v>
                </c:pt>
                <c:pt idx="46">
                  <c:v>0.12659999999999999</c:v>
                </c:pt>
                <c:pt idx="47">
                  <c:v>0.13320000000000001</c:v>
                </c:pt>
                <c:pt idx="48">
                  <c:v>0.1288</c:v>
                </c:pt>
                <c:pt idx="49">
                  <c:v>0.1353</c:v>
                </c:pt>
                <c:pt idx="50">
                  <c:v>0.1265</c:v>
                </c:pt>
                <c:pt idx="51">
                  <c:v>0.1293</c:v>
                </c:pt>
                <c:pt idx="52">
                  <c:v>0.1285</c:v>
                </c:pt>
                <c:pt idx="53">
                  <c:v>0.12939999999999999</c:v>
                </c:pt>
                <c:pt idx="54">
                  <c:v>0.13650000000000001</c:v>
                </c:pt>
                <c:pt idx="55">
                  <c:v>0.13389999999999999</c:v>
                </c:pt>
                <c:pt idx="56">
                  <c:v>0.128</c:v>
                </c:pt>
                <c:pt idx="57">
                  <c:v>0.13289999999999999</c:v>
                </c:pt>
                <c:pt idx="58">
                  <c:v>0.1363</c:v>
                </c:pt>
                <c:pt idx="59">
                  <c:v>0.13009999999999999</c:v>
                </c:pt>
                <c:pt idx="60">
                  <c:v>0.13109999999999999</c:v>
                </c:pt>
                <c:pt idx="61">
                  <c:v>0.13450000000000001</c:v>
                </c:pt>
                <c:pt idx="62">
                  <c:v>0.1351</c:v>
                </c:pt>
                <c:pt idx="63">
                  <c:v>0.13089999999999999</c:v>
                </c:pt>
                <c:pt idx="64">
                  <c:v>0.1323</c:v>
                </c:pt>
                <c:pt idx="65">
                  <c:v>0.12909999999999999</c:v>
                </c:pt>
                <c:pt idx="66">
                  <c:v>0.1321</c:v>
                </c:pt>
                <c:pt idx="67">
                  <c:v>0.1351</c:v>
                </c:pt>
                <c:pt idx="68">
                  <c:v>0.13719999999999999</c:v>
                </c:pt>
                <c:pt idx="69">
                  <c:v>0.1399</c:v>
                </c:pt>
                <c:pt idx="70">
                  <c:v>0.13550000000000001</c:v>
                </c:pt>
                <c:pt idx="71">
                  <c:v>0.1305</c:v>
                </c:pt>
                <c:pt idx="72">
                  <c:v>0.13109999999999999</c:v>
                </c:pt>
                <c:pt idx="73">
                  <c:v>0.13059999999999999</c:v>
                </c:pt>
                <c:pt idx="74">
                  <c:v>0.1295</c:v>
                </c:pt>
                <c:pt idx="75">
                  <c:v>0.13009999999999999</c:v>
                </c:pt>
                <c:pt idx="76">
                  <c:v>0.14099999999999999</c:v>
                </c:pt>
                <c:pt idx="77">
                  <c:v>0.14099999999999999</c:v>
                </c:pt>
                <c:pt idx="78">
                  <c:v>0.13350000000000001</c:v>
                </c:pt>
                <c:pt idx="79">
                  <c:v>0.13539999999999999</c:v>
                </c:pt>
                <c:pt idx="80">
                  <c:v>0.13869999999999999</c:v>
                </c:pt>
                <c:pt idx="81">
                  <c:v>0.1389</c:v>
                </c:pt>
                <c:pt idx="82">
                  <c:v>0.1396</c:v>
                </c:pt>
                <c:pt idx="83">
                  <c:v>0.1326</c:v>
                </c:pt>
                <c:pt idx="84">
                  <c:v>0.13719999999999999</c:v>
                </c:pt>
                <c:pt idx="85">
                  <c:v>0.13800000000000001</c:v>
                </c:pt>
                <c:pt idx="86">
                  <c:v>0.13919999999999999</c:v>
                </c:pt>
                <c:pt idx="87">
                  <c:v>0.1396</c:v>
                </c:pt>
                <c:pt idx="88">
                  <c:v>0.14080000000000001</c:v>
                </c:pt>
                <c:pt idx="89">
                  <c:v>0.1386</c:v>
                </c:pt>
                <c:pt idx="90">
                  <c:v>0.1381</c:v>
                </c:pt>
                <c:pt idx="91">
                  <c:v>0.13969999999999999</c:v>
                </c:pt>
                <c:pt idx="92">
                  <c:v>0.14099999999999999</c:v>
                </c:pt>
                <c:pt idx="93">
                  <c:v>0.13850000000000001</c:v>
                </c:pt>
                <c:pt idx="94">
                  <c:v>0.1371</c:v>
                </c:pt>
                <c:pt idx="95">
                  <c:v>0.14000000000000001</c:v>
                </c:pt>
                <c:pt idx="96">
                  <c:v>0.1386</c:v>
                </c:pt>
                <c:pt idx="97">
                  <c:v>0.1416</c:v>
                </c:pt>
                <c:pt idx="98">
                  <c:v>0.14449999999999999</c:v>
                </c:pt>
                <c:pt idx="99">
                  <c:v>0.1376</c:v>
                </c:pt>
                <c:pt idx="100">
                  <c:v>0.13800000000000001</c:v>
                </c:pt>
                <c:pt idx="101">
                  <c:v>0.14119999999999999</c:v>
                </c:pt>
                <c:pt idx="102">
                  <c:v>0.14050000000000001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A-BD45-BDF0-25BEBA745742}"/>
            </c:ext>
          </c:extLst>
        </c:ser>
        <c:ser>
          <c:idx val="2"/>
          <c:order val="1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9DB2FF"/>
                </a:solidFill>
                <a:prstDash val="solid"/>
              </a:ln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[6]Sheet1!$59:$59</c:f>
              <c:numCache>
                <c:formatCode>General</c:formatCode>
                <c:ptCount val="16384"/>
                <c:pt idx="0">
                  <c:v>9.6000000000000002E-2</c:v>
                </c:pt>
                <c:pt idx="1">
                  <c:v>9.9099999999999994E-2</c:v>
                </c:pt>
                <c:pt idx="2">
                  <c:v>0.10349999999999999</c:v>
                </c:pt>
                <c:pt idx="3">
                  <c:v>0.10009999999999999</c:v>
                </c:pt>
                <c:pt idx="4">
                  <c:v>9.8900000000000002E-2</c:v>
                </c:pt>
                <c:pt idx="5">
                  <c:v>0.1009</c:v>
                </c:pt>
                <c:pt idx="6">
                  <c:v>0.1017</c:v>
                </c:pt>
                <c:pt idx="7">
                  <c:v>0.107</c:v>
                </c:pt>
                <c:pt idx="8">
                  <c:v>0.1033</c:v>
                </c:pt>
                <c:pt idx="9">
                  <c:v>0.104</c:v>
                </c:pt>
                <c:pt idx="10">
                  <c:v>0.1042</c:v>
                </c:pt>
                <c:pt idx="11">
                  <c:v>0.1055</c:v>
                </c:pt>
                <c:pt idx="12">
                  <c:v>0.1067</c:v>
                </c:pt>
                <c:pt idx="13">
                  <c:v>0.10780000000000001</c:v>
                </c:pt>
                <c:pt idx="14">
                  <c:v>0.1099</c:v>
                </c:pt>
                <c:pt idx="15">
                  <c:v>0.10970000000000001</c:v>
                </c:pt>
                <c:pt idx="16">
                  <c:v>0.113</c:v>
                </c:pt>
                <c:pt idx="17">
                  <c:v>0.11119999999999999</c:v>
                </c:pt>
                <c:pt idx="18">
                  <c:v>0.1123</c:v>
                </c:pt>
                <c:pt idx="19">
                  <c:v>0.11459999999999999</c:v>
                </c:pt>
                <c:pt idx="20">
                  <c:v>0.1171</c:v>
                </c:pt>
                <c:pt idx="21">
                  <c:v>0.1191</c:v>
                </c:pt>
                <c:pt idx="22">
                  <c:v>0.1208</c:v>
                </c:pt>
                <c:pt idx="23">
                  <c:v>0.12180000000000001</c:v>
                </c:pt>
                <c:pt idx="24">
                  <c:v>0.122</c:v>
                </c:pt>
                <c:pt idx="25">
                  <c:v>0.1235</c:v>
                </c:pt>
                <c:pt idx="26">
                  <c:v>0.1249</c:v>
                </c:pt>
                <c:pt idx="27">
                  <c:v>0.1326</c:v>
                </c:pt>
                <c:pt idx="28">
                  <c:v>0.12520000000000001</c:v>
                </c:pt>
                <c:pt idx="29">
                  <c:v>0.12770000000000001</c:v>
                </c:pt>
                <c:pt idx="30">
                  <c:v>0.1278</c:v>
                </c:pt>
                <c:pt idx="31">
                  <c:v>0.13109999999999999</c:v>
                </c:pt>
                <c:pt idx="32">
                  <c:v>0.1232</c:v>
                </c:pt>
                <c:pt idx="33">
                  <c:v>0.13289999999999999</c:v>
                </c:pt>
                <c:pt idx="34">
                  <c:v>0.13020000000000001</c:v>
                </c:pt>
                <c:pt idx="35">
                  <c:v>0.13300000000000001</c:v>
                </c:pt>
                <c:pt idx="36">
                  <c:v>0.1341</c:v>
                </c:pt>
                <c:pt idx="37">
                  <c:v>0.13420000000000001</c:v>
                </c:pt>
                <c:pt idx="38">
                  <c:v>0.13600000000000001</c:v>
                </c:pt>
                <c:pt idx="39">
                  <c:v>0.13539999999999999</c:v>
                </c:pt>
                <c:pt idx="40">
                  <c:v>0.13639999999999999</c:v>
                </c:pt>
                <c:pt idx="41">
                  <c:v>0.13800000000000001</c:v>
                </c:pt>
                <c:pt idx="42">
                  <c:v>0.1396</c:v>
                </c:pt>
                <c:pt idx="43">
                  <c:v>0.14130000000000001</c:v>
                </c:pt>
                <c:pt idx="44">
                  <c:v>0.14280000000000001</c:v>
                </c:pt>
                <c:pt idx="45">
                  <c:v>0.14799999999999999</c:v>
                </c:pt>
                <c:pt idx="46">
                  <c:v>0.14269999999999999</c:v>
                </c:pt>
                <c:pt idx="47">
                  <c:v>0.14849999999999999</c:v>
                </c:pt>
                <c:pt idx="48">
                  <c:v>0.14269999999999999</c:v>
                </c:pt>
                <c:pt idx="49">
                  <c:v>0.15010000000000001</c:v>
                </c:pt>
                <c:pt idx="50">
                  <c:v>0.14510000000000001</c:v>
                </c:pt>
                <c:pt idx="51">
                  <c:v>0.14710000000000001</c:v>
                </c:pt>
                <c:pt idx="52">
                  <c:v>0.14630000000000001</c:v>
                </c:pt>
                <c:pt idx="53">
                  <c:v>0.14610000000000001</c:v>
                </c:pt>
                <c:pt idx="54">
                  <c:v>0.15379999999999999</c:v>
                </c:pt>
                <c:pt idx="55">
                  <c:v>0.14779999999999999</c:v>
                </c:pt>
                <c:pt idx="56">
                  <c:v>0.15110000000000001</c:v>
                </c:pt>
                <c:pt idx="57">
                  <c:v>0.152</c:v>
                </c:pt>
                <c:pt idx="58">
                  <c:v>0.15529999999999999</c:v>
                </c:pt>
                <c:pt idx="59">
                  <c:v>0.14940000000000001</c:v>
                </c:pt>
                <c:pt idx="60">
                  <c:v>0.1482</c:v>
                </c:pt>
                <c:pt idx="61">
                  <c:v>0.1573</c:v>
                </c:pt>
                <c:pt idx="62">
                  <c:v>0.1565</c:v>
                </c:pt>
                <c:pt idx="63">
                  <c:v>0.15160000000000001</c:v>
                </c:pt>
                <c:pt idx="64">
                  <c:v>0.15260000000000001</c:v>
                </c:pt>
                <c:pt idx="65">
                  <c:v>0.15049999999999999</c:v>
                </c:pt>
                <c:pt idx="66">
                  <c:v>0.15229999999999999</c:v>
                </c:pt>
                <c:pt idx="67">
                  <c:v>0.15210000000000001</c:v>
                </c:pt>
                <c:pt idx="68">
                  <c:v>0.15340000000000001</c:v>
                </c:pt>
                <c:pt idx="69">
                  <c:v>0.1623</c:v>
                </c:pt>
                <c:pt idx="70">
                  <c:v>0.15740000000000001</c:v>
                </c:pt>
                <c:pt idx="71">
                  <c:v>0.1575</c:v>
                </c:pt>
                <c:pt idx="72">
                  <c:v>0.15579999999999999</c:v>
                </c:pt>
                <c:pt idx="73">
                  <c:v>0.157</c:v>
                </c:pt>
                <c:pt idx="74">
                  <c:v>0.15670000000000001</c:v>
                </c:pt>
                <c:pt idx="75">
                  <c:v>0.1555</c:v>
                </c:pt>
                <c:pt idx="76">
                  <c:v>0.16750000000000001</c:v>
                </c:pt>
                <c:pt idx="77">
                  <c:v>0.16420000000000001</c:v>
                </c:pt>
                <c:pt idx="78">
                  <c:v>0.1613</c:v>
                </c:pt>
                <c:pt idx="79">
                  <c:v>0.16259999999999999</c:v>
                </c:pt>
                <c:pt idx="80">
                  <c:v>0.16539999999999999</c:v>
                </c:pt>
                <c:pt idx="81">
                  <c:v>0.16470000000000001</c:v>
                </c:pt>
                <c:pt idx="82">
                  <c:v>0.16539999999999999</c:v>
                </c:pt>
                <c:pt idx="83">
                  <c:v>0.15629999999999999</c:v>
                </c:pt>
                <c:pt idx="84">
                  <c:v>0.16450000000000001</c:v>
                </c:pt>
                <c:pt idx="85">
                  <c:v>0.1661</c:v>
                </c:pt>
                <c:pt idx="86">
                  <c:v>0.1661</c:v>
                </c:pt>
                <c:pt idx="87">
                  <c:v>0.1694</c:v>
                </c:pt>
                <c:pt idx="88">
                  <c:v>0.17019999999999999</c:v>
                </c:pt>
                <c:pt idx="89">
                  <c:v>0.1691</c:v>
                </c:pt>
                <c:pt idx="90">
                  <c:v>0.16639999999999999</c:v>
                </c:pt>
                <c:pt idx="91">
                  <c:v>0.1681</c:v>
                </c:pt>
                <c:pt idx="92">
                  <c:v>0.1681</c:v>
                </c:pt>
                <c:pt idx="93">
                  <c:v>0.16769999999999999</c:v>
                </c:pt>
                <c:pt idx="94">
                  <c:v>0.16800000000000001</c:v>
                </c:pt>
                <c:pt idx="95">
                  <c:v>0.1709</c:v>
                </c:pt>
                <c:pt idx="96">
                  <c:v>0.1686</c:v>
                </c:pt>
                <c:pt idx="97">
                  <c:v>0.17150000000000001</c:v>
                </c:pt>
                <c:pt idx="98">
                  <c:v>0.1719</c:v>
                </c:pt>
                <c:pt idx="99">
                  <c:v>0.16700000000000001</c:v>
                </c:pt>
                <c:pt idx="100">
                  <c:v>0.17</c:v>
                </c:pt>
                <c:pt idx="101">
                  <c:v>0.17249999999999999</c:v>
                </c:pt>
                <c:pt idx="102">
                  <c:v>0.17330000000000001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9A-BD45-BDF0-25BEBA745742}"/>
            </c:ext>
          </c:extLst>
        </c:ser>
        <c:ser>
          <c:idx val="3"/>
          <c:order val="2"/>
          <c:spPr>
            <a:ln w="28575">
              <a:noFill/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[6]Sheet1!$60:$60</c:f>
              <c:numCache>
                <c:formatCode>General</c:formatCode>
                <c:ptCount val="16384"/>
                <c:pt idx="0">
                  <c:v>8.4099999999999994E-2</c:v>
                </c:pt>
                <c:pt idx="1">
                  <c:v>8.5300000000000001E-2</c:v>
                </c:pt>
                <c:pt idx="2">
                  <c:v>8.1799999999999998E-2</c:v>
                </c:pt>
                <c:pt idx="3">
                  <c:v>8.1699999999999995E-2</c:v>
                </c:pt>
                <c:pt idx="4">
                  <c:v>8.2100000000000006E-2</c:v>
                </c:pt>
                <c:pt idx="5">
                  <c:v>8.4099999999999994E-2</c:v>
                </c:pt>
                <c:pt idx="6">
                  <c:v>8.4199999999999997E-2</c:v>
                </c:pt>
                <c:pt idx="7">
                  <c:v>8.9399999999999993E-2</c:v>
                </c:pt>
                <c:pt idx="8">
                  <c:v>8.8099999999999998E-2</c:v>
                </c:pt>
                <c:pt idx="9">
                  <c:v>8.8700000000000001E-2</c:v>
                </c:pt>
                <c:pt idx="10">
                  <c:v>8.9399999999999993E-2</c:v>
                </c:pt>
                <c:pt idx="11">
                  <c:v>8.8700000000000001E-2</c:v>
                </c:pt>
                <c:pt idx="12">
                  <c:v>8.9499999999999996E-2</c:v>
                </c:pt>
                <c:pt idx="13">
                  <c:v>8.8999999999999996E-2</c:v>
                </c:pt>
                <c:pt idx="14">
                  <c:v>9.1700000000000004E-2</c:v>
                </c:pt>
                <c:pt idx="15">
                  <c:v>9.0399999999999994E-2</c:v>
                </c:pt>
                <c:pt idx="16">
                  <c:v>9.1700000000000004E-2</c:v>
                </c:pt>
                <c:pt idx="17">
                  <c:v>9.3600000000000003E-2</c:v>
                </c:pt>
                <c:pt idx="18">
                  <c:v>9.5200000000000007E-2</c:v>
                </c:pt>
                <c:pt idx="19">
                  <c:v>9.7100000000000006E-2</c:v>
                </c:pt>
                <c:pt idx="20">
                  <c:v>0.1033</c:v>
                </c:pt>
                <c:pt idx="21">
                  <c:v>0.1061</c:v>
                </c:pt>
                <c:pt idx="22">
                  <c:v>0.11119999999999999</c:v>
                </c:pt>
                <c:pt idx="23">
                  <c:v>0.1149</c:v>
                </c:pt>
                <c:pt idx="24">
                  <c:v>0.1164</c:v>
                </c:pt>
                <c:pt idx="25">
                  <c:v>0.12130000000000001</c:v>
                </c:pt>
                <c:pt idx="26">
                  <c:v>0.12640000000000001</c:v>
                </c:pt>
                <c:pt idx="27">
                  <c:v>0.13320000000000001</c:v>
                </c:pt>
                <c:pt idx="28">
                  <c:v>0.1313</c:v>
                </c:pt>
                <c:pt idx="29">
                  <c:v>0.1406</c:v>
                </c:pt>
                <c:pt idx="30">
                  <c:v>0.1459</c:v>
                </c:pt>
                <c:pt idx="31">
                  <c:v>0.1492</c:v>
                </c:pt>
                <c:pt idx="32">
                  <c:v>0.14680000000000001</c:v>
                </c:pt>
                <c:pt idx="33">
                  <c:v>0.14899999999999999</c:v>
                </c:pt>
                <c:pt idx="34">
                  <c:v>0.1515</c:v>
                </c:pt>
                <c:pt idx="35">
                  <c:v>0.15670000000000001</c:v>
                </c:pt>
                <c:pt idx="36">
                  <c:v>0.16139999999999999</c:v>
                </c:pt>
                <c:pt idx="37">
                  <c:v>0.1641</c:v>
                </c:pt>
                <c:pt idx="38">
                  <c:v>0.1691</c:v>
                </c:pt>
                <c:pt idx="39">
                  <c:v>0.1734</c:v>
                </c:pt>
                <c:pt idx="40">
                  <c:v>0.17499999999999999</c:v>
                </c:pt>
                <c:pt idx="41">
                  <c:v>0.17699999999999999</c:v>
                </c:pt>
                <c:pt idx="42">
                  <c:v>0.1812</c:v>
                </c:pt>
                <c:pt idx="43">
                  <c:v>0.18240000000000001</c:v>
                </c:pt>
                <c:pt idx="44">
                  <c:v>0.18779999999999999</c:v>
                </c:pt>
                <c:pt idx="45">
                  <c:v>0.19589999999999999</c:v>
                </c:pt>
                <c:pt idx="46">
                  <c:v>0.1946</c:v>
                </c:pt>
                <c:pt idx="47">
                  <c:v>0.20050000000000001</c:v>
                </c:pt>
                <c:pt idx="48">
                  <c:v>0.19620000000000001</c:v>
                </c:pt>
                <c:pt idx="49">
                  <c:v>0.20630000000000001</c:v>
                </c:pt>
                <c:pt idx="50">
                  <c:v>0.2034</c:v>
                </c:pt>
                <c:pt idx="51">
                  <c:v>0.2054</c:v>
                </c:pt>
                <c:pt idx="52">
                  <c:v>0.20630000000000001</c:v>
                </c:pt>
                <c:pt idx="53">
                  <c:v>0.20780000000000001</c:v>
                </c:pt>
                <c:pt idx="54">
                  <c:v>0.21310000000000001</c:v>
                </c:pt>
                <c:pt idx="55">
                  <c:v>0.21060000000000001</c:v>
                </c:pt>
                <c:pt idx="56">
                  <c:v>0.2122</c:v>
                </c:pt>
                <c:pt idx="57">
                  <c:v>0.21410000000000001</c:v>
                </c:pt>
                <c:pt idx="58">
                  <c:v>0.22370000000000001</c:v>
                </c:pt>
                <c:pt idx="59">
                  <c:v>0.21820000000000001</c:v>
                </c:pt>
                <c:pt idx="60">
                  <c:v>0.21940000000000001</c:v>
                </c:pt>
                <c:pt idx="61">
                  <c:v>0.2205</c:v>
                </c:pt>
                <c:pt idx="62">
                  <c:v>0.22700000000000001</c:v>
                </c:pt>
                <c:pt idx="63">
                  <c:v>0.22040000000000001</c:v>
                </c:pt>
                <c:pt idx="64">
                  <c:v>0.2225</c:v>
                </c:pt>
                <c:pt idx="65">
                  <c:v>0.22459999999999999</c:v>
                </c:pt>
                <c:pt idx="66">
                  <c:v>0.22500000000000001</c:v>
                </c:pt>
                <c:pt idx="67">
                  <c:v>0.22559999999999999</c:v>
                </c:pt>
                <c:pt idx="68">
                  <c:v>0.2276</c:v>
                </c:pt>
                <c:pt idx="69">
                  <c:v>0.23719999999999999</c:v>
                </c:pt>
                <c:pt idx="70">
                  <c:v>0.23039999999999999</c:v>
                </c:pt>
                <c:pt idx="71">
                  <c:v>0.22950000000000001</c:v>
                </c:pt>
                <c:pt idx="72">
                  <c:v>0.23469999999999999</c:v>
                </c:pt>
                <c:pt idx="73">
                  <c:v>0.2334</c:v>
                </c:pt>
                <c:pt idx="74">
                  <c:v>0.2349</c:v>
                </c:pt>
                <c:pt idx="75">
                  <c:v>0.23669999999999999</c:v>
                </c:pt>
                <c:pt idx="76">
                  <c:v>0.2394</c:v>
                </c:pt>
                <c:pt idx="77">
                  <c:v>0.2397</c:v>
                </c:pt>
                <c:pt idx="78">
                  <c:v>0.23569999999999999</c:v>
                </c:pt>
                <c:pt idx="79">
                  <c:v>0.24299999999999999</c:v>
                </c:pt>
                <c:pt idx="80">
                  <c:v>0.24079999999999999</c:v>
                </c:pt>
                <c:pt idx="81">
                  <c:v>0.2422</c:v>
                </c:pt>
                <c:pt idx="82">
                  <c:v>0.2487</c:v>
                </c:pt>
                <c:pt idx="83">
                  <c:v>0.23860000000000001</c:v>
                </c:pt>
                <c:pt idx="84">
                  <c:v>0.2409</c:v>
                </c:pt>
                <c:pt idx="85">
                  <c:v>0.2407</c:v>
                </c:pt>
                <c:pt idx="86">
                  <c:v>0.2414</c:v>
                </c:pt>
                <c:pt idx="87">
                  <c:v>0.2445</c:v>
                </c:pt>
                <c:pt idx="88">
                  <c:v>0.2429</c:v>
                </c:pt>
                <c:pt idx="89">
                  <c:v>0.24390000000000001</c:v>
                </c:pt>
                <c:pt idx="90">
                  <c:v>0.2409</c:v>
                </c:pt>
                <c:pt idx="91">
                  <c:v>0.24540000000000001</c:v>
                </c:pt>
                <c:pt idx="92">
                  <c:v>0.24460000000000001</c:v>
                </c:pt>
                <c:pt idx="93">
                  <c:v>0.24410000000000001</c:v>
                </c:pt>
                <c:pt idx="94">
                  <c:v>0.24260000000000001</c:v>
                </c:pt>
                <c:pt idx="95">
                  <c:v>0.2422</c:v>
                </c:pt>
                <c:pt idx="96">
                  <c:v>0.245</c:v>
                </c:pt>
                <c:pt idx="97">
                  <c:v>0.2442</c:v>
                </c:pt>
                <c:pt idx="98">
                  <c:v>0.24099999999999999</c:v>
                </c:pt>
                <c:pt idx="99">
                  <c:v>0.24199999999999999</c:v>
                </c:pt>
                <c:pt idx="100">
                  <c:v>0.24399999999999999</c:v>
                </c:pt>
                <c:pt idx="101">
                  <c:v>0.24099999999999999</c:v>
                </c:pt>
                <c:pt idx="102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9A-BD45-BDF0-25BEBA745742}"/>
            </c:ext>
          </c:extLst>
        </c:ser>
        <c:ser>
          <c:idx val="1"/>
          <c:order val="3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E46C0A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[6]Sheet1!$61:$61</c:f>
              <c:numCache>
                <c:formatCode>General</c:formatCode>
                <c:ptCount val="16384"/>
                <c:pt idx="0">
                  <c:v>8.5999999999999993E-2</c:v>
                </c:pt>
                <c:pt idx="1">
                  <c:v>8.7099999999999997E-2</c:v>
                </c:pt>
                <c:pt idx="2">
                  <c:v>8.7349999999999997E-2</c:v>
                </c:pt>
                <c:pt idx="3">
                  <c:v>8.9099999999999999E-2</c:v>
                </c:pt>
                <c:pt idx="4">
                  <c:v>8.9889999999999998E-2</c:v>
                </c:pt>
                <c:pt idx="5">
                  <c:v>8.9509000000000005E-2</c:v>
                </c:pt>
                <c:pt idx="6">
                  <c:v>9.1316999999999995E-2</c:v>
                </c:pt>
                <c:pt idx="7">
                  <c:v>9.1700000000000004E-2</c:v>
                </c:pt>
                <c:pt idx="8">
                  <c:v>9.2329999999999995E-2</c:v>
                </c:pt>
                <c:pt idx="9">
                  <c:v>9.2499999999999999E-2</c:v>
                </c:pt>
                <c:pt idx="10">
                  <c:v>9.6420000000000006E-2</c:v>
                </c:pt>
                <c:pt idx="11">
                  <c:v>9.7500000000000003E-2</c:v>
                </c:pt>
                <c:pt idx="12">
                  <c:v>9.6699999999999994E-2</c:v>
                </c:pt>
                <c:pt idx="13">
                  <c:v>9.8000000000000004E-2</c:v>
                </c:pt>
                <c:pt idx="14">
                  <c:v>0.10100000000000001</c:v>
                </c:pt>
                <c:pt idx="15">
                  <c:v>0.10299999999999999</c:v>
                </c:pt>
                <c:pt idx="16">
                  <c:v>0.10299999999999999</c:v>
                </c:pt>
                <c:pt idx="17">
                  <c:v>0.1012</c:v>
                </c:pt>
                <c:pt idx="18">
                  <c:v>0.106</c:v>
                </c:pt>
                <c:pt idx="19">
                  <c:v>0.1086</c:v>
                </c:pt>
                <c:pt idx="20">
                  <c:v>0.1071</c:v>
                </c:pt>
                <c:pt idx="21">
                  <c:v>0.11</c:v>
                </c:pt>
                <c:pt idx="22">
                  <c:v>0.1148</c:v>
                </c:pt>
                <c:pt idx="23">
                  <c:v>0.11799999999999999</c:v>
                </c:pt>
                <c:pt idx="24">
                  <c:v>0.1192</c:v>
                </c:pt>
                <c:pt idx="25">
                  <c:v>0.12</c:v>
                </c:pt>
                <c:pt idx="26">
                  <c:v>0.121</c:v>
                </c:pt>
                <c:pt idx="27">
                  <c:v>0.1239</c:v>
                </c:pt>
                <c:pt idx="28">
                  <c:v>0.12520000000000001</c:v>
                </c:pt>
                <c:pt idx="29">
                  <c:v>0.13100000000000001</c:v>
                </c:pt>
                <c:pt idx="30">
                  <c:v>0.13700000000000001</c:v>
                </c:pt>
                <c:pt idx="31">
                  <c:v>0.13800000000000001</c:v>
                </c:pt>
                <c:pt idx="32">
                  <c:v>0.13900000000000001</c:v>
                </c:pt>
                <c:pt idx="33">
                  <c:v>0.14000000000000001</c:v>
                </c:pt>
                <c:pt idx="34">
                  <c:v>0.14099999999999999</c:v>
                </c:pt>
                <c:pt idx="35">
                  <c:v>0.14299999999999999</c:v>
                </c:pt>
                <c:pt idx="36">
                  <c:v>0.14410000000000001</c:v>
                </c:pt>
                <c:pt idx="37">
                  <c:v>0.14799999999999999</c:v>
                </c:pt>
                <c:pt idx="38">
                  <c:v>0.14899999999999999</c:v>
                </c:pt>
                <c:pt idx="39">
                  <c:v>0.15</c:v>
                </c:pt>
                <c:pt idx="40">
                  <c:v>0.152</c:v>
                </c:pt>
                <c:pt idx="41">
                  <c:v>0.15379999999999999</c:v>
                </c:pt>
                <c:pt idx="42">
                  <c:v>0.15495999999999999</c:v>
                </c:pt>
                <c:pt idx="43">
                  <c:v>0.15712999999999999</c:v>
                </c:pt>
                <c:pt idx="44">
                  <c:v>0.158</c:v>
                </c:pt>
                <c:pt idx="45">
                  <c:v>0.1598</c:v>
                </c:pt>
                <c:pt idx="46">
                  <c:v>0.16370000000000001</c:v>
                </c:pt>
                <c:pt idx="47">
                  <c:v>0.16850000000000001</c:v>
                </c:pt>
                <c:pt idx="48">
                  <c:v>0.16769999999999999</c:v>
                </c:pt>
                <c:pt idx="49">
                  <c:v>0.17</c:v>
                </c:pt>
                <c:pt idx="50">
                  <c:v>0.1731</c:v>
                </c:pt>
                <c:pt idx="51">
                  <c:v>0.17471</c:v>
                </c:pt>
                <c:pt idx="52">
                  <c:v>0.17630000000000001</c:v>
                </c:pt>
                <c:pt idx="53">
                  <c:v>0.17810000000000001</c:v>
                </c:pt>
                <c:pt idx="54">
                  <c:v>0.18</c:v>
                </c:pt>
                <c:pt idx="55">
                  <c:v>0.18099999999999999</c:v>
                </c:pt>
                <c:pt idx="56">
                  <c:v>0.185</c:v>
                </c:pt>
                <c:pt idx="57">
                  <c:v>0.187</c:v>
                </c:pt>
                <c:pt idx="58">
                  <c:v>0.189</c:v>
                </c:pt>
                <c:pt idx="59">
                  <c:v>0.191</c:v>
                </c:pt>
                <c:pt idx="60">
                  <c:v>0.192</c:v>
                </c:pt>
                <c:pt idx="61">
                  <c:v>0.1923</c:v>
                </c:pt>
                <c:pt idx="62">
                  <c:v>0.19350000000000001</c:v>
                </c:pt>
                <c:pt idx="63">
                  <c:v>0.19516</c:v>
                </c:pt>
                <c:pt idx="64">
                  <c:v>0.19525999999999999</c:v>
                </c:pt>
                <c:pt idx="65">
                  <c:v>0.19605</c:v>
                </c:pt>
                <c:pt idx="66">
                  <c:v>0.19522999999999999</c:v>
                </c:pt>
                <c:pt idx="67">
                  <c:v>0.19621</c:v>
                </c:pt>
                <c:pt idx="68">
                  <c:v>0.19633999999999999</c:v>
                </c:pt>
                <c:pt idx="69">
                  <c:v>0.19722999999999999</c:v>
                </c:pt>
                <c:pt idx="70">
                  <c:v>0.19739999999999999</c:v>
                </c:pt>
                <c:pt idx="71">
                  <c:v>0.19750000000000001</c:v>
                </c:pt>
                <c:pt idx="72">
                  <c:v>0.19900000000000001</c:v>
                </c:pt>
                <c:pt idx="73">
                  <c:v>0.19900000000000001</c:v>
                </c:pt>
                <c:pt idx="74">
                  <c:v>0.2</c:v>
                </c:pt>
                <c:pt idx="75">
                  <c:v>0.20555000000000001</c:v>
                </c:pt>
                <c:pt idx="76">
                  <c:v>0.20150000000000001</c:v>
                </c:pt>
                <c:pt idx="77">
                  <c:v>0.20419999999999999</c:v>
                </c:pt>
                <c:pt idx="78">
                  <c:v>0.20300000000000001</c:v>
                </c:pt>
                <c:pt idx="79">
                  <c:v>0.2026</c:v>
                </c:pt>
                <c:pt idx="80">
                  <c:v>0.2054</c:v>
                </c:pt>
                <c:pt idx="81">
                  <c:v>0.20699999999999999</c:v>
                </c:pt>
                <c:pt idx="82">
                  <c:v>0.20399999999999999</c:v>
                </c:pt>
                <c:pt idx="83">
                  <c:v>0.20830000000000001</c:v>
                </c:pt>
                <c:pt idx="84">
                  <c:v>0.20949999999999999</c:v>
                </c:pt>
                <c:pt idx="85">
                  <c:v>0.20910000000000001</c:v>
                </c:pt>
                <c:pt idx="86">
                  <c:v>0.20910000000000001</c:v>
                </c:pt>
                <c:pt idx="87">
                  <c:v>0.2094</c:v>
                </c:pt>
                <c:pt idx="88">
                  <c:v>0.21</c:v>
                </c:pt>
                <c:pt idx="89">
                  <c:v>0.21010000000000001</c:v>
                </c:pt>
                <c:pt idx="90">
                  <c:v>0.21163999999999999</c:v>
                </c:pt>
                <c:pt idx="91">
                  <c:v>0.21099999999999999</c:v>
                </c:pt>
                <c:pt idx="92">
                  <c:v>0.21210000000000001</c:v>
                </c:pt>
                <c:pt idx="93">
                  <c:v>0.2127</c:v>
                </c:pt>
                <c:pt idx="94">
                  <c:v>0.21579999999999999</c:v>
                </c:pt>
                <c:pt idx="95">
                  <c:v>0.21409</c:v>
                </c:pt>
                <c:pt idx="96">
                  <c:v>0.21686</c:v>
                </c:pt>
                <c:pt idx="97">
                  <c:v>0.21715000000000001</c:v>
                </c:pt>
                <c:pt idx="98">
                  <c:v>0.21718999999999999</c:v>
                </c:pt>
                <c:pt idx="99">
                  <c:v>0.2167</c:v>
                </c:pt>
                <c:pt idx="100">
                  <c:v>0.217</c:v>
                </c:pt>
                <c:pt idx="101">
                  <c:v>0.21725</c:v>
                </c:pt>
                <c:pt idx="102">
                  <c:v>0.21733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9A-BD45-BDF0-25BEBA745742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FF00"/>
              </a:solidFill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[6]Sheet1!$62:$62</c:f>
              <c:numCache>
                <c:formatCode>General</c:formatCode>
                <c:ptCount val="16384"/>
                <c:pt idx="0">
                  <c:v>8.6999999999999994E-2</c:v>
                </c:pt>
                <c:pt idx="1">
                  <c:v>8.8099999999999998E-2</c:v>
                </c:pt>
                <c:pt idx="2">
                  <c:v>8.8349999999999998E-2</c:v>
                </c:pt>
                <c:pt idx="3">
                  <c:v>9.0999999999999998E-2</c:v>
                </c:pt>
                <c:pt idx="4">
                  <c:v>9.1300000000000006E-2</c:v>
                </c:pt>
                <c:pt idx="5">
                  <c:v>9.1508999999999993E-2</c:v>
                </c:pt>
                <c:pt idx="6">
                  <c:v>9.1700000000000004E-2</c:v>
                </c:pt>
                <c:pt idx="7">
                  <c:v>9.2399999999999996E-2</c:v>
                </c:pt>
                <c:pt idx="8">
                  <c:v>9.2700000000000005E-2</c:v>
                </c:pt>
                <c:pt idx="9">
                  <c:v>9.3399999999999997E-2</c:v>
                </c:pt>
                <c:pt idx="10">
                  <c:v>9.9000000000000005E-2</c:v>
                </c:pt>
                <c:pt idx="11">
                  <c:v>0.105</c:v>
                </c:pt>
                <c:pt idx="12">
                  <c:v>0.1067</c:v>
                </c:pt>
                <c:pt idx="13">
                  <c:v>0.108</c:v>
                </c:pt>
                <c:pt idx="14">
                  <c:v>0.11</c:v>
                </c:pt>
                <c:pt idx="15">
                  <c:v>0.113</c:v>
                </c:pt>
                <c:pt idx="16">
                  <c:v>0.113</c:v>
                </c:pt>
                <c:pt idx="17">
                  <c:v>0.1142</c:v>
                </c:pt>
                <c:pt idx="18">
                  <c:v>0.11559999999999999</c:v>
                </c:pt>
                <c:pt idx="19">
                  <c:v>0.11700000000000001</c:v>
                </c:pt>
                <c:pt idx="20">
                  <c:v>0.1181</c:v>
                </c:pt>
                <c:pt idx="21">
                  <c:v>0.11899999999999999</c:v>
                </c:pt>
                <c:pt idx="22">
                  <c:v>0.12180000000000001</c:v>
                </c:pt>
                <c:pt idx="23">
                  <c:v>0.12379999999999999</c:v>
                </c:pt>
                <c:pt idx="24">
                  <c:v>0.1242</c:v>
                </c:pt>
                <c:pt idx="25">
                  <c:v>0.126</c:v>
                </c:pt>
                <c:pt idx="26">
                  <c:v>0.127</c:v>
                </c:pt>
                <c:pt idx="27">
                  <c:v>0.128</c:v>
                </c:pt>
                <c:pt idx="28">
                  <c:v>0.129</c:v>
                </c:pt>
                <c:pt idx="29">
                  <c:v>0.13400000000000001</c:v>
                </c:pt>
                <c:pt idx="30">
                  <c:v>0.13900000000000001</c:v>
                </c:pt>
                <c:pt idx="31">
                  <c:v>0.14000000000000001</c:v>
                </c:pt>
                <c:pt idx="32">
                  <c:v>0.1439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0.15229999999999999</c:v>
                </c:pt>
                <c:pt idx="38">
                  <c:v>0.15240000000000001</c:v>
                </c:pt>
                <c:pt idx="39">
                  <c:v>0.15409999999999999</c:v>
                </c:pt>
                <c:pt idx="40">
                  <c:v>0.158</c:v>
                </c:pt>
                <c:pt idx="41">
                  <c:v>0.1638</c:v>
                </c:pt>
                <c:pt idx="42">
                  <c:v>0.16600000000000001</c:v>
                </c:pt>
                <c:pt idx="43">
                  <c:v>0.16713</c:v>
                </c:pt>
                <c:pt idx="44">
                  <c:v>0.17100000000000001</c:v>
                </c:pt>
                <c:pt idx="45">
                  <c:v>0.17280000000000001</c:v>
                </c:pt>
                <c:pt idx="46">
                  <c:v>0.17369999999999999</c:v>
                </c:pt>
                <c:pt idx="47">
                  <c:v>0.17799999999999999</c:v>
                </c:pt>
                <c:pt idx="48">
                  <c:v>0.18</c:v>
                </c:pt>
                <c:pt idx="49">
                  <c:v>0.184</c:v>
                </c:pt>
                <c:pt idx="50">
                  <c:v>0.186</c:v>
                </c:pt>
                <c:pt idx="51">
                  <c:v>0.18709999999999999</c:v>
                </c:pt>
                <c:pt idx="52">
                  <c:v>0.18976299999999999</c:v>
                </c:pt>
                <c:pt idx="53">
                  <c:v>0.19209999999999999</c:v>
                </c:pt>
                <c:pt idx="54">
                  <c:v>0.19400000000000001</c:v>
                </c:pt>
                <c:pt idx="55">
                  <c:v>0.19481000000000001</c:v>
                </c:pt>
                <c:pt idx="56">
                  <c:v>0.19850000000000001</c:v>
                </c:pt>
                <c:pt idx="57">
                  <c:v>0.19869999999999999</c:v>
                </c:pt>
                <c:pt idx="58">
                  <c:v>0.19889999999999999</c:v>
                </c:pt>
                <c:pt idx="59">
                  <c:v>0.2031</c:v>
                </c:pt>
                <c:pt idx="60">
                  <c:v>0.20499999999999999</c:v>
                </c:pt>
                <c:pt idx="61">
                  <c:v>0.20699999999999999</c:v>
                </c:pt>
                <c:pt idx="62">
                  <c:v>0.20799999999999999</c:v>
                </c:pt>
                <c:pt idx="63">
                  <c:v>0.20899999999999999</c:v>
                </c:pt>
                <c:pt idx="64">
                  <c:v>0.21</c:v>
                </c:pt>
                <c:pt idx="65">
                  <c:v>0.21299999999999999</c:v>
                </c:pt>
                <c:pt idx="66">
                  <c:v>0.21523</c:v>
                </c:pt>
                <c:pt idx="67">
                  <c:v>0.21621000000000001</c:v>
                </c:pt>
                <c:pt idx="68">
                  <c:v>0.21634</c:v>
                </c:pt>
                <c:pt idx="69">
                  <c:v>0.21729999999999999</c:v>
                </c:pt>
                <c:pt idx="70">
                  <c:v>0.21740000000000001</c:v>
                </c:pt>
                <c:pt idx="71">
                  <c:v>0.2175</c:v>
                </c:pt>
                <c:pt idx="72">
                  <c:v>0.21990000000000001</c:v>
                </c:pt>
                <c:pt idx="73">
                  <c:v>0.21990000000000001</c:v>
                </c:pt>
                <c:pt idx="74">
                  <c:v>0.22</c:v>
                </c:pt>
                <c:pt idx="75">
                  <c:v>0.221555</c:v>
                </c:pt>
                <c:pt idx="76">
                  <c:v>0.2215</c:v>
                </c:pt>
                <c:pt idx="77">
                  <c:v>0.22242000000000001</c:v>
                </c:pt>
                <c:pt idx="78">
                  <c:v>0.2223</c:v>
                </c:pt>
                <c:pt idx="79">
                  <c:v>0.22259999999999999</c:v>
                </c:pt>
                <c:pt idx="80">
                  <c:v>0.22239999999999999</c:v>
                </c:pt>
                <c:pt idx="81">
                  <c:v>0.22700000000000001</c:v>
                </c:pt>
                <c:pt idx="82">
                  <c:v>0.22234000000000001</c:v>
                </c:pt>
                <c:pt idx="83">
                  <c:v>0.22283</c:v>
                </c:pt>
                <c:pt idx="84">
                  <c:v>0.22800000000000001</c:v>
                </c:pt>
                <c:pt idx="85">
                  <c:v>0.23</c:v>
                </c:pt>
                <c:pt idx="86">
                  <c:v>0.22900000000000001</c:v>
                </c:pt>
                <c:pt idx="87">
                  <c:v>0.23200000000000001</c:v>
                </c:pt>
                <c:pt idx="88">
                  <c:v>0.23100000000000001</c:v>
                </c:pt>
                <c:pt idx="89">
                  <c:v>0.23100999999999999</c:v>
                </c:pt>
                <c:pt idx="90">
                  <c:v>0.23116400000000001</c:v>
                </c:pt>
                <c:pt idx="91">
                  <c:v>0.2311</c:v>
                </c:pt>
                <c:pt idx="92">
                  <c:v>0.2321</c:v>
                </c:pt>
                <c:pt idx="93">
                  <c:v>0.23269999999999999</c:v>
                </c:pt>
                <c:pt idx="94">
                  <c:v>0.23358000000000001</c:v>
                </c:pt>
                <c:pt idx="95">
                  <c:v>0.23214090000000001</c:v>
                </c:pt>
                <c:pt idx="96">
                  <c:v>0.231686</c:v>
                </c:pt>
                <c:pt idx="97">
                  <c:v>0.232015</c:v>
                </c:pt>
                <c:pt idx="98">
                  <c:v>0.2329</c:v>
                </c:pt>
                <c:pt idx="99">
                  <c:v>0.23200000000000001</c:v>
                </c:pt>
                <c:pt idx="100">
                  <c:v>0.23169999999999999</c:v>
                </c:pt>
                <c:pt idx="101">
                  <c:v>0.23250000000000001</c:v>
                </c:pt>
                <c:pt idx="102">
                  <c:v>0.23300000000000001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9A-BD45-BDF0-25BEBA74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877016"/>
        <c:axId val="2092628344"/>
      </c:scatterChart>
      <c:valAx>
        <c:axId val="2092877016"/>
        <c:scaling>
          <c:orientation val="minMax"/>
          <c:max val="1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628344"/>
        <c:crosses val="autoZero"/>
        <c:crossBetween val="midCat"/>
      </c:valAx>
      <c:valAx>
        <c:axId val="2092628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2877016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Lysozyme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3821138211382"/>
          <c:y val="5.4151624548736503E-2"/>
          <c:w val="0.83943089430894302"/>
          <c:h val="0.848375451263537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9DB2FF"/>
                </a:solidFill>
                <a:prstDash val="solid"/>
              </a:ln>
            </c:spPr>
          </c:marker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[6]Sheet1!$60:$60</c:f>
              <c:numCache>
                <c:formatCode>General</c:formatCode>
                <c:ptCount val="16384"/>
                <c:pt idx="0">
                  <c:v>8.4099999999999994E-2</c:v>
                </c:pt>
                <c:pt idx="1">
                  <c:v>8.5300000000000001E-2</c:v>
                </c:pt>
                <c:pt idx="2">
                  <c:v>8.1799999999999998E-2</c:v>
                </c:pt>
                <c:pt idx="3">
                  <c:v>8.1699999999999995E-2</c:v>
                </c:pt>
                <c:pt idx="4">
                  <c:v>8.2100000000000006E-2</c:v>
                </c:pt>
                <c:pt idx="5">
                  <c:v>8.4099999999999994E-2</c:v>
                </c:pt>
                <c:pt idx="6">
                  <c:v>8.4199999999999997E-2</c:v>
                </c:pt>
                <c:pt idx="7">
                  <c:v>8.9399999999999993E-2</c:v>
                </c:pt>
                <c:pt idx="8">
                  <c:v>8.8099999999999998E-2</c:v>
                </c:pt>
                <c:pt idx="9">
                  <c:v>8.8700000000000001E-2</c:v>
                </c:pt>
                <c:pt idx="10">
                  <c:v>8.9399999999999993E-2</c:v>
                </c:pt>
                <c:pt idx="11">
                  <c:v>8.8700000000000001E-2</c:v>
                </c:pt>
                <c:pt idx="12">
                  <c:v>8.9499999999999996E-2</c:v>
                </c:pt>
                <c:pt idx="13">
                  <c:v>8.8999999999999996E-2</c:v>
                </c:pt>
                <c:pt idx="14">
                  <c:v>9.1700000000000004E-2</c:v>
                </c:pt>
                <c:pt idx="15">
                  <c:v>9.0399999999999994E-2</c:v>
                </c:pt>
                <c:pt idx="16">
                  <c:v>9.1700000000000004E-2</c:v>
                </c:pt>
                <c:pt idx="17">
                  <c:v>9.3600000000000003E-2</c:v>
                </c:pt>
                <c:pt idx="18">
                  <c:v>9.5200000000000007E-2</c:v>
                </c:pt>
                <c:pt idx="19">
                  <c:v>9.7100000000000006E-2</c:v>
                </c:pt>
                <c:pt idx="20">
                  <c:v>0.1033</c:v>
                </c:pt>
                <c:pt idx="21">
                  <c:v>0.1061</c:v>
                </c:pt>
                <c:pt idx="22">
                  <c:v>0.11119999999999999</c:v>
                </c:pt>
                <c:pt idx="23">
                  <c:v>0.1149</c:v>
                </c:pt>
                <c:pt idx="24">
                  <c:v>0.1164</c:v>
                </c:pt>
                <c:pt idx="25">
                  <c:v>0.12130000000000001</c:v>
                </c:pt>
                <c:pt idx="26">
                  <c:v>0.12640000000000001</c:v>
                </c:pt>
                <c:pt idx="27">
                  <c:v>0.13320000000000001</c:v>
                </c:pt>
                <c:pt idx="28">
                  <c:v>0.1313</c:v>
                </c:pt>
                <c:pt idx="29">
                  <c:v>0.1406</c:v>
                </c:pt>
                <c:pt idx="30">
                  <c:v>0.1459</c:v>
                </c:pt>
                <c:pt idx="31">
                  <c:v>0.1492</c:v>
                </c:pt>
                <c:pt idx="32">
                  <c:v>0.14680000000000001</c:v>
                </c:pt>
                <c:pt idx="33">
                  <c:v>0.14899999999999999</c:v>
                </c:pt>
                <c:pt idx="34">
                  <c:v>0.1515</c:v>
                </c:pt>
                <c:pt idx="35">
                  <c:v>0.15670000000000001</c:v>
                </c:pt>
                <c:pt idx="36">
                  <c:v>0.16139999999999999</c:v>
                </c:pt>
                <c:pt idx="37">
                  <c:v>0.1641</c:v>
                </c:pt>
                <c:pt idx="38">
                  <c:v>0.1691</c:v>
                </c:pt>
                <c:pt idx="39">
                  <c:v>0.1734</c:v>
                </c:pt>
                <c:pt idx="40">
                  <c:v>0.17499999999999999</c:v>
                </c:pt>
                <c:pt idx="41">
                  <c:v>0.17699999999999999</c:v>
                </c:pt>
                <c:pt idx="42">
                  <c:v>0.1812</c:v>
                </c:pt>
                <c:pt idx="43">
                  <c:v>0.18240000000000001</c:v>
                </c:pt>
                <c:pt idx="44">
                  <c:v>0.18779999999999999</c:v>
                </c:pt>
                <c:pt idx="45">
                  <c:v>0.19589999999999999</c:v>
                </c:pt>
                <c:pt idx="46">
                  <c:v>0.1946</c:v>
                </c:pt>
                <c:pt idx="47">
                  <c:v>0.20050000000000001</c:v>
                </c:pt>
                <c:pt idx="48">
                  <c:v>0.19620000000000001</c:v>
                </c:pt>
                <c:pt idx="49">
                  <c:v>0.20630000000000001</c:v>
                </c:pt>
                <c:pt idx="50">
                  <c:v>0.2034</c:v>
                </c:pt>
                <c:pt idx="51">
                  <c:v>0.2054</c:v>
                </c:pt>
                <c:pt idx="52">
                  <c:v>0.20630000000000001</c:v>
                </c:pt>
                <c:pt idx="53">
                  <c:v>0.20780000000000001</c:v>
                </c:pt>
                <c:pt idx="54">
                  <c:v>0.21310000000000001</c:v>
                </c:pt>
                <c:pt idx="55">
                  <c:v>0.21060000000000001</c:v>
                </c:pt>
                <c:pt idx="56">
                  <c:v>0.2122</c:v>
                </c:pt>
                <c:pt idx="57">
                  <c:v>0.21410000000000001</c:v>
                </c:pt>
                <c:pt idx="58">
                  <c:v>0.22370000000000001</c:v>
                </c:pt>
                <c:pt idx="59">
                  <c:v>0.21820000000000001</c:v>
                </c:pt>
                <c:pt idx="60">
                  <c:v>0.21940000000000001</c:v>
                </c:pt>
                <c:pt idx="61">
                  <c:v>0.2205</c:v>
                </c:pt>
                <c:pt idx="62">
                  <c:v>0.22700000000000001</c:v>
                </c:pt>
                <c:pt idx="63">
                  <c:v>0.22040000000000001</c:v>
                </c:pt>
                <c:pt idx="64">
                  <c:v>0.2225</c:v>
                </c:pt>
                <c:pt idx="65">
                  <c:v>0.22459999999999999</c:v>
                </c:pt>
                <c:pt idx="66">
                  <c:v>0.22500000000000001</c:v>
                </c:pt>
                <c:pt idx="67">
                  <c:v>0.22559999999999999</c:v>
                </c:pt>
                <c:pt idx="68">
                  <c:v>0.2276</c:v>
                </c:pt>
                <c:pt idx="69">
                  <c:v>0.23719999999999999</c:v>
                </c:pt>
                <c:pt idx="70">
                  <c:v>0.23039999999999999</c:v>
                </c:pt>
                <c:pt idx="71">
                  <c:v>0.22950000000000001</c:v>
                </c:pt>
                <c:pt idx="72">
                  <c:v>0.23469999999999999</c:v>
                </c:pt>
                <c:pt idx="73">
                  <c:v>0.2334</c:v>
                </c:pt>
                <c:pt idx="74">
                  <c:v>0.2349</c:v>
                </c:pt>
                <c:pt idx="75">
                  <c:v>0.23669999999999999</c:v>
                </c:pt>
                <c:pt idx="76">
                  <c:v>0.2394</c:v>
                </c:pt>
                <c:pt idx="77">
                  <c:v>0.2397</c:v>
                </c:pt>
                <c:pt idx="78">
                  <c:v>0.23569999999999999</c:v>
                </c:pt>
                <c:pt idx="79">
                  <c:v>0.24299999999999999</c:v>
                </c:pt>
                <c:pt idx="80">
                  <c:v>0.24079999999999999</c:v>
                </c:pt>
                <c:pt idx="81">
                  <c:v>0.2422</c:v>
                </c:pt>
                <c:pt idx="82">
                  <c:v>0.2487</c:v>
                </c:pt>
                <c:pt idx="83">
                  <c:v>0.23860000000000001</c:v>
                </c:pt>
                <c:pt idx="84">
                  <c:v>0.2409</c:v>
                </c:pt>
                <c:pt idx="85">
                  <c:v>0.2407</c:v>
                </c:pt>
                <c:pt idx="86">
                  <c:v>0.2414</c:v>
                </c:pt>
                <c:pt idx="87">
                  <c:v>0.2445</c:v>
                </c:pt>
                <c:pt idx="88">
                  <c:v>0.2429</c:v>
                </c:pt>
                <c:pt idx="89">
                  <c:v>0.24390000000000001</c:v>
                </c:pt>
                <c:pt idx="90">
                  <c:v>0.2409</c:v>
                </c:pt>
                <c:pt idx="91">
                  <c:v>0.24540000000000001</c:v>
                </c:pt>
                <c:pt idx="92">
                  <c:v>0.24460000000000001</c:v>
                </c:pt>
                <c:pt idx="93">
                  <c:v>0.24410000000000001</c:v>
                </c:pt>
                <c:pt idx="94">
                  <c:v>0.24260000000000001</c:v>
                </c:pt>
                <c:pt idx="95">
                  <c:v>0.2422</c:v>
                </c:pt>
                <c:pt idx="96">
                  <c:v>0.245</c:v>
                </c:pt>
                <c:pt idx="97">
                  <c:v>0.2442</c:v>
                </c:pt>
                <c:pt idx="98">
                  <c:v>0.24099999999999999</c:v>
                </c:pt>
                <c:pt idx="99">
                  <c:v>0.24199999999999999</c:v>
                </c:pt>
                <c:pt idx="100">
                  <c:v>0.24399999999999999</c:v>
                </c:pt>
                <c:pt idx="101">
                  <c:v>0.24099999999999999</c:v>
                </c:pt>
                <c:pt idx="102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9-234F-80AD-E9C1827A395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rgbClr val="0070C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[6]Sheet1!$57:$57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[6]Sheet1!$65:$65</c:f>
              <c:numCache>
                <c:formatCode>General</c:formatCode>
                <c:ptCount val="16384"/>
                <c:pt idx="0">
                  <c:v>8.8200000000000001E-2</c:v>
                </c:pt>
                <c:pt idx="1">
                  <c:v>8.8230000000000003E-2</c:v>
                </c:pt>
                <c:pt idx="2">
                  <c:v>8.8999999999999996E-2</c:v>
                </c:pt>
                <c:pt idx="3">
                  <c:v>0.09</c:v>
                </c:pt>
                <c:pt idx="4">
                  <c:v>9.0200000000000002E-2</c:v>
                </c:pt>
                <c:pt idx="5">
                  <c:v>9.1200000000000003E-2</c:v>
                </c:pt>
                <c:pt idx="6">
                  <c:v>9.1399999999999995E-2</c:v>
                </c:pt>
                <c:pt idx="7">
                  <c:v>9.1499999999999998E-2</c:v>
                </c:pt>
                <c:pt idx="8">
                  <c:v>9.1800000000000007E-2</c:v>
                </c:pt>
                <c:pt idx="9">
                  <c:v>8.8999999999999996E-2</c:v>
                </c:pt>
                <c:pt idx="10">
                  <c:v>8.9399999999999993E-2</c:v>
                </c:pt>
                <c:pt idx="11">
                  <c:v>8.8700000000000001E-2</c:v>
                </c:pt>
                <c:pt idx="12">
                  <c:v>9.1200000000000003E-2</c:v>
                </c:pt>
                <c:pt idx="13">
                  <c:v>8.8999999999999996E-2</c:v>
                </c:pt>
                <c:pt idx="14">
                  <c:v>9.1700000000000004E-2</c:v>
                </c:pt>
                <c:pt idx="15">
                  <c:v>9.2999999999999999E-2</c:v>
                </c:pt>
                <c:pt idx="16">
                  <c:v>9.5000000000000001E-2</c:v>
                </c:pt>
                <c:pt idx="17">
                  <c:v>9.3600000000000003E-2</c:v>
                </c:pt>
                <c:pt idx="18">
                  <c:v>9.7000000000000003E-2</c:v>
                </c:pt>
                <c:pt idx="19">
                  <c:v>9.9000000000000005E-2</c:v>
                </c:pt>
                <c:pt idx="20">
                  <c:v>0.10100000000000001</c:v>
                </c:pt>
                <c:pt idx="21">
                  <c:v>0.109</c:v>
                </c:pt>
                <c:pt idx="22">
                  <c:v>0.114</c:v>
                </c:pt>
                <c:pt idx="23">
                  <c:v>0.1149</c:v>
                </c:pt>
                <c:pt idx="24">
                  <c:v>0.11799999999999999</c:v>
                </c:pt>
                <c:pt idx="25">
                  <c:v>0.123</c:v>
                </c:pt>
                <c:pt idx="26">
                  <c:v>0.129</c:v>
                </c:pt>
                <c:pt idx="27">
                  <c:v>0.13700000000000001</c:v>
                </c:pt>
                <c:pt idx="28">
                  <c:v>0.13800000000000001</c:v>
                </c:pt>
                <c:pt idx="29">
                  <c:v>0.151</c:v>
                </c:pt>
                <c:pt idx="30">
                  <c:v>0.156</c:v>
                </c:pt>
                <c:pt idx="31">
                  <c:v>0.161</c:v>
                </c:pt>
                <c:pt idx="32">
                  <c:v>0.161</c:v>
                </c:pt>
                <c:pt idx="33">
                  <c:v>0.16500000000000001</c:v>
                </c:pt>
                <c:pt idx="34">
                  <c:v>0.16500000000000001</c:v>
                </c:pt>
                <c:pt idx="35">
                  <c:v>0.17299999999999999</c:v>
                </c:pt>
                <c:pt idx="36">
                  <c:v>0.17399999999999999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0.18099999999999999</c:v>
                </c:pt>
                <c:pt idx="40">
                  <c:v>0.193</c:v>
                </c:pt>
                <c:pt idx="41">
                  <c:v>0.191</c:v>
                </c:pt>
                <c:pt idx="42">
                  <c:v>0.193</c:v>
                </c:pt>
                <c:pt idx="43">
                  <c:v>0.19239999999999999</c:v>
                </c:pt>
                <c:pt idx="44">
                  <c:v>0.19800000000000001</c:v>
                </c:pt>
                <c:pt idx="45">
                  <c:v>0.2</c:v>
                </c:pt>
                <c:pt idx="46">
                  <c:v>0.2112</c:v>
                </c:pt>
                <c:pt idx="47">
                  <c:v>0.2145</c:v>
                </c:pt>
                <c:pt idx="48">
                  <c:v>0.21</c:v>
                </c:pt>
                <c:pt idx="49">
                  <c:v>0.21199999999999999</c:v>
                </c:pt>
                <c:pt idx="50">
                  <c:v>0.216</c:v>
                </c:pt>
                <c:pt idx="51">
                  <c:v>0.218</c:v>
                </c:pt>
                <c:pt idx="52">
                  <c:v>0.219</c:v>
                </c:pt>
                <c:pt idx="53">
                  <c:v>0.22</c:v>
                </c:pt>
                <c:pt idx="54">
                  <c:v>0.223</c:v>
                </c:pt>
                <c:pt idx="55">
                  <c:v>0.23</c:v>
                </c:pt>
                <c:pt idx="56">
                  <c:v>0.23200000000000001</c:v>
                </c:pt>
                <c:pt idx="57">
                  <c:v>0.23400000000000001</c:v>
                </c:pt>
                <c:pt idx="58">
                  <c:v>0.23699999999999999</c:v>
                </c:pt>
                <c:pt idx="59">
                  <c:v>0.2382</c:v>
                </c:pt>
                <c:pt idx="60">
                  <c:v>0.2394</c:v>
                </c:pt>
                <c:pt idx="61">
                  <c:v>0.24204999999999999</c:v>
                </c:pt>
                <c:pt idx="62">
                  <c:v>0.24299999999999999</c:v>
                </c:pt>
                <c:pt idx="63">
                  <c:v>0.24299999999999999</c:v>
                </c:pt>
                <c:pt idx="64">
                  <c:v>0.24249999999999999</c:v>
                </c:pt>
                <c:pt idx="65">
                  <c:v>0.24460000000000001</c:v>
                </c:pt>
                <c:pt idx="66">
                  <c:v>0.245</c:v>
                </c:pt>
                <c:pt idx="67">
                  <c:v>0.24560000000000001</c:v>
                </c:pt>
                <c:pt idx="68">
                  <c:v>0.24759999999999999</c:v>
                </c:pt>
                <c:pt idx="69">
                  <c:v>0.2472</c:v>
                </c:pt>
                <c:pt idx="70">
                  <c:v>0.24299999999999999</c:v>
                </c:pt>
                <c:pt idx="71">
                  <c:v>0.246</c:v>
                </c:pt>
                <c:pt idx="72">
                  <c:v>0.2447</c:v>
                </c:pt>
                <c:pt idx="73">
                  <c:v>0.24399999999999999</c:v>
                </c:pt>
                <c:pt idx="74">
                  <c:v>0.24490000000000001</c:v>
                </c:pt>
                <c:pt idx="75">
                  <c:v>0.2467</c:v>
                </c:pt>
                <c:pt idx="76">
                  <c:v>0.24940000000000001</c:v>
                </c:pt>
                <c:pt idx="77">
                  <c:v>0.24970000000000001</c:v>
                </c:pt>
                <c:pt idx="78">
                  <c:v>0.251</c:v>
                </c:pt>
                <c:pt idx="79">
                  <c:v>0.252</c:v>
                </c:pt>
                <c:pt idx="80">
                  <c:v>0.25180000000000002</c:v>
                </c:pt>
                <c:pt idx="81">
                  <c:v>0.25219999999999998</c:v>
                </c:pt>
                <c:pt idx="82">
                  <c:v>0.251</c:v>
                </c:pt>
                <c:pt idx="83">
                  <c:v>0.24859999999999999</c:v>
                </c:pt>
                <c:pt idx="84">
                  <c:v>0.25090000000000001</c:v>
                </c:pt>
                <c:pt idx="85">
                  <c:v>0.25069999999999998</c:v>
                </c:pt>
                <c:pt idx="86">
                  <c:v>0.25140000000000001</c:v>
                </c:pt>
                <c:pt idx="87">
                  <c:v>0.252</c:v>
                </c:pt>
                <c:pt idx="88">
                  <c:v>0.25290000000000001</c:v>
                </c:pt>
                <c:pt idx="89">
                  <c:v>0.25390000000000001</c:v>
                </c:pt>
                <c:pt idx="90">
                  <c:v>0.25090000000000001</c:v>
                </c:pt>
                <c:pt idx="91">
                  <c:v>0.25240000000000001</c:v>
                </c:pt>
                <c:pt idx="92">
                  <c:v>0.251</c:v>
                </c:pt>
                <c:pt idx="93">
                  <c:v>0.251</c:v>
                </c:pt>
                <c:pt idx="94">
                  <c:v>0.25259999999999999</c:v>
                </c:pt>
                <c:pt idx="95">
                  <c:v>0.252</c:v>
                </c:pt>
                <c:pt idx="96">
                  <c:v>0.253</c:v>
                </c:pt>
                <c:pt idx="97">
                  <c:v>0.25319999999999998</c:v>
                </c:pt>
                <c:pt idx="98">
                  <c:v>0.25387999999999999</c:v>
                </c:pt>
                <c:pt idx="99">
                  <c:v>0.255</c:v>
                </c:pt>
                <c:pt idx="100">
                  <c:v>0.25409999999999999</c:v>
                </c:pt>
                <c:pt idx="101">
                  <c:v>0.25374000000000002</c:v>
                </c:pt>
                <c:pt idx="102">
                  <c:v>0.2545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89-234F-80AD-E9C1827A3956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00B0F0"/>
              </a:solidFill>
              <a:ln>
                <a:solidFill>
                  <a:srgbClr val="FF1900"/>
                </a:solidFill>
                <a:prstDash val="solid"/>
              </a:ln>
            </c:spPr>
          </c:marker>
          <c:xVal>
            <c:numRef>
              <c:f>[6]Sheet1!$50:$50</c:f>
              <c:numCache>
                <c:formatCode>General</c:formatCode>
                <c:ptCount val="16384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310</c:v>
                </c:pt>
                <c:pt idx="4">
                  <c:v>390</c:v>
                </c:pt>
                <c:pt idx="5">
                  <c:v>470</c:v>
                </c:pt>
                <c:pt idx="6">
                  <c:v>550</c:v>
                </c:pt>
                <c:pt idx="7">
                  <c:v>630</c:v>
                </c:pt>
                <c:pt idx="8">
                  <c:v>710</c:v>
                </c:pt>
                <c:pt idx="9">
                  <c:v>790</c:v>
                </c:pt>
                <c:pt idx="10">
                  <c:v>870</c:v>
                </c:pt>
                <c:pt idx="11">
                  <c:v>950</c:v>
                </c:pt>
                <c:pt idx="12">
                  <c:v>1030</c:v>
                </c:pt>
                <c:pt idx="13">
                  <c:v>1110</c:v>
                </c:pt>
                <c:pt idx="14">
                  <c:v>1190</c:v>
                </c:pt>
                <c:pt idx="15">
                  <c:v>1270</c:v>
                </c:pt>
                <c:pt idx="16">
                  <c:v>1350</c:v>
                </c:pt>
                <c:pt idx="17">
                  <c:v>1430</c:v>
                </c:pt>
                <c:pt idx="18">
                  <c:v>1510</c:v>
                </c:pt>
                <c:pt idx="19">
                  <c:v>1590</c:v>
                </c:pt>
                <c:pt idx="20">
                  <c:v>1670</c:v>
                </c:pt>
                <c:pt idx="21">
                  <c:v>1750</c:v>
                </c:pt>
                <c:pt idx="22">
                  <c:v>1830</c:v>
                </c:pt>
                <c:pt idx="23">
                  <c:v>1910</c:v>
                </c:pt>
                <c:pt idx="24">
                  <c:v>1990</c:v>
                </c:pt>
                <c:pt idx="25">
                  <c:v>2070</c:v>
                </c:pt>
                <c:pt idx="26">
                  <c:v>2150</c:v>
                </c:pt>
                <c:pt idx="27">
                  <c:v>2230</c:v>
                </c:pt>
                <c:pt idx="28">
                  <c:v>2310</c:v>
                </c:pt>
                <c:pt idx="29">
                  <c:v>2390</c:v>
                </c:pt>
                <c:pt idx="30">
                  <c:v>2470</c:v>
                </c:pt>
                <c:pt idx="31">
                  <c:v>2550</c:v>
                </c:pt>
                <c:pt idx="32">
                  <c:v>2630</c:v>
                </c:pt>
                <c:pt idx="33">
                  <c:v>2710</c:v>
                </c:pt>
                <c:pt idx="34">
                  <c:v>2790</c:v>
                </c:pt>
                <c:pt idx="35">
                  <c:v>2870</c:v>
                </c:pt>
                <c:pt idx="36">
                  <c:v>2950</c:v>
                </c:pt>
                <c:pt idx="37">
                  <c:v>3030</c:v>
                </c:pt>
                <c:pt idx="38">
                  <c:v>3110</c:v>
                </c:pt>
                <c:pt idx="39">
                  <c:v>3190</c:v>
                </c:pt>
                <c:pt idx="40">
                  <c:v>3270</c:v>
                </c:pt>
                <c:pt idx="41">
                  <c:v>3350</c:v>
                </c:pt>
                <c:pt idx="42">
                  <c:v>3430</c:v>
                </c:pt>
                <c:pt idx="43">
                  <c:v>3510</c:v>
                </c:pt>
                <c:pt idx="44">
                  <c:v>3590</c:v>
                </c:pt>
                <c:pt idx="45">
                  <c:v>3670</c:v>
                </c:pt>
                <c:pt idx="46">
                  <c:v>3750</c:v>
                </c:pt>
                <c:pt idx="47">
                  <c:v>3830</c:v>
                </c:pt>
                <c:pt idx="48">
                  <c:v>3910</c:v>
                </c:pt>
                <c:pt idx="49">
                  <c:v>3990</c:v>
                </c:pt>
                <c:pt idx="50">
                  <c:v>4070</c:v>
                </c:pt>
                <c:pt idx="51">
                  <c:v>4150</c:v>
                </c:pt>
                <c:pt idx="52">
                  <c:v>4230</c:v>
                </c:pt>
                <c:pt idx="53">
                  <c:v>4310</c:v>
                </c:pt>
                <c:pt idx="54">
                  <c:v>4390</c:v>
                </c:pt>
                <c:pt idx="55">
                  <c:v>4470</c:v>
                </c:pt>
                <c:pt idx="56">
                  <c:v>4550</c:v>
                </c:pt>
                <c:pt idx="57">
                  <c:v>4630</c:v>
                </c:pt>
                <c:pt idx="58">
                  <c:v>4710</c:v>
                </c:pt>
                <c:pt idx="59">
                  <c:v>4790</c:v>
                </c:pt>
                <c:pt idx="60">
                  <c:v>4870</c:v>
                </c:pt>
                <c:pt idx="61">
                  <c:v>4950</c:v>
                </c:pt>
                <c:pt idx="62">
                  <c:v>5030</c:v>
                </c:pt>
                <c:pt idx="63">
                  <c:v>5110</c:v>
                </c:pt>
                <c:pt idx="64">
                  <c:v>5230</c:v>
                </c:pt>
                <c:pt idx="65">
                  <c:v>5350</c:v>
                </c:pt>
                <c:pt idx="66">
                  <c:v>5470</c:v>
                </c:pt>
                <c:pt idx="67">
                  <c:v>5590</c:v>
                </c:pt>
                <c:pt idx="68">
                  <c:v>5710</c:v>
                </c:pt>
                <c:pt idx="69">
                  <c:v>5830</c:v>
                </c:pt>
                <c:pt idx="70">
                  <c:v>5950</c:v>
                </c:pt>
                <c:pt idx="71">
                  <c:v>6070</c:v>
                </c:pt>
                <c:pt idx="72">
                  <c:v>6190</c:v>
                </c:pt>
                <c:pt idx="73">
                  <c:v>6310</c:v>
                </c:pt>
                <c:pt idx="74">
                  <c:v>6430</c:v>
                </c:pt>
                <c:pt idx="75">
                  <c:v>6550</c:v>
                </c:pt>
                <c:pt idx="76">
                  <c:v>6670</c:v>
                </c:pt>
                <c:pt idx="77">
                  <c:v>6790</c:v>
                </c:pt>
                <c:pt idx="78">
                  <c:v>6910</c:v>
                </c:pt>
                <c:pt idx="79">
                  <c:v>7030</c:v>
                </c:pt>
                <c:pt idx="80">
                  <c:v>7150</c:v>
                </c:pt>
                <c:pt idx="81">
                  <c:v>7270</c:v>
                </c:pt>
                <c:pt idx="82">
                  <c:v>7390</c:v>
                </c:pt>
                <c:pt idx="83">
                  <c:v>7510</c:v>
                </c:pt>
                <c:pt idx="84">
                  <c:v>7630</c:v>
                </c:pt>
                <c:pt idx="85">
                  <c:v>7750</c:v>
                </c:pt>
                <c:pt idx="86">
                  <c:v>7870</c:v>
                </c:pt>
                <c:pt idx="87">
                  <c:v>7990</c:v>
                </c:pt>
                <c:pt idx="88">
                  <c:v>8110</c:v>
                </c:pt>
                <c:pt idx="89">
                  <c:v>8230</c:v>
                </c:pt>
                <c:pt idx="90">
                  <c:v>8350</c:v>
                </c:pt>
                <c:pt idx="91">
                  <c:v>8470</c:v>
                </c:pt>
                <c:pt idx="92">
                  <c:v>8590</c:v>
                </c:pt>
                <c:pt idx="93">
                  <c:v>8710</c:v>
                </c:pt>
                <c:pt idx="94">
                  <c:v>8830</c:v>
                </c:pt>
                <c:pt idx="95">
                  <c:v>8950</c:v>
                </c:pt>
                <c:pt idx="96">
                  <c:v>9070</c:v>
                </c:pt>
                <c:pt idx="97">
                  <c:v>9190</c:v>
                </c:pt>
                <c:pt idx="98">
                  <c:v>9310</c:v>
                </c:pt>
                <c:pt idx="99">
                  <c:v>9430</c:v>
                </c:pt>
                <c:pt idx="100">
                  <c:v>9550</c:v>
                </c:pt>
                <c:pt idx="101">
                  <c:v>9670</c:v>
                </c:pt>
                <c:pt idx="102">
                  <c:v>9790</c:v>
                </c:pt>
              </c:numCache>
            </c:numRef>
          </c:xVal>
          <c:yVal>
            <c:numRef>
              <c:f>[6]Sheet1!$66:$66</c:f>
              <c:numCache>
                <c:formatCode>General</c:formatCode>
                <c:ptCount val="16384"/>
                <c:pt idx="0">
                  <c:v>8.5000000000000006E-2</c:v>
                </c:pt>
                <c:pt idx="1">
                  <c:v>8.5300000000000001E-2</c:v>
                </c:pt>
                <c:pt idx="2">
                  <c:v>8.3000000000000004E-2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8.1100000000000005E-2</c:v>
                </c:pt>
                <c:pt idx="6">
                  <c:v>8.1000000000000003E-2</c:v>
                </c:pt>
                <c:pt idx="7">
                  <c:v>8.0399999999999999E-2</c:v>
                </c:pt>
                <c:pt idx="8">
                  <c:v>8.0799999999999997E-2</c:v>
                </c:pt>
                <c:pt idx="9">
                  <c:v>8.2000000000000003E-2</c:v>
                </c:pt>
                <c:pt idx="10">
                  <c:v>8.14E-2</c:v>
                </c:pt>
                <c:pt idx="11">
                  <c:v>8.2699999999999996E-2</c:v>
                </c:pt>
                <c:pt idx="12">
                  <c:v>8.2500000000000004E-2</c:v>
                </c:pt>
                <c:pt idx="13">
                  <c:v>8.2900000000000001E-2</c:v>
                </c:pt>
                <c:pt idx="14">
                  <c:v>8.6999999999999994E-2</c:v>
                </c:pt>
                <c:pt idx="15">
                  <c:v>8.7999999999999995E-2</c:v>
                </c:pt>
                <c:pt idx="16">
                  <c:v>8.8999999999999996E-2</c:v>
                </c:pt>
                <c:pt idx="17">
                  <c:v>9.01E-2</c:v>
                </c:pt>
                <c:pt idx="18">
                  <c:v>9.1200000000000003E-2</c:v>
                </c:pt>
                <c:pt idx="19">
                  <c:v>9.1800000000000007E-2</c:v>
                </c:pt>
                <c:pt idx="20">
                  <c:v>9.5299999999999996E-2</c:v>
                </c:pt>
                <c:pt idx="21">
                  <c:v>9.8000000000000004E-2</c:v>
                </c:pt>
                <c:pt idx="22">
                  <c:v>0.1</c:v>
                </c:pt>
                <c:pt idx="23">
                  <c:v>0.10199999999999999</c:v>
                </c:pt>
                <c:pt idx="24">
                  <c:v>0.104</c:v>
                </c:pt>
                <c:pt idx="25">
                  <c:v>0.104</c:v>
                </c:pt>
                <c:pt idx="26">
                  <c:v>0.106</c:v>
                </c:pt>
                <c:pt idx="27">
                  <c:v>0.11</c:v>
                </c:pt>
                <c:pt idx="28">
                  <c:v>0.113</c:v>
                </c:pt>
                <c:pt idx="29">
                  <c:v>0.114</c:v>
                </c:pt>
                <c:pt idx="30">
                  <c:v>0.11799999999999999</c:v>
                </c:pt>
                <c:pt idx="31">
                  <c:v>0.12</c:v>
                </c:pt>
                <c:pt idx="32">
                  <c:v>0.1268</c:v>
                </c:pt>
                <c:pt idx="33">
                  <c:v>0.129</c:v>
                </c:pt>
                <c:pt idx="34">
                  <c:v>0.13150000000000001</c:v>
                </c:pt>
                <c:pt idx="35">
                  <c:v>0.13669999999999999</c:v>
                </c:pt>
                <c:pt idx="36">
                  <c:v>0.1414</c:v>
                </c:pt>
                <c:pt idx="37">
                  <c:v>0.14410000000000001</c:v>
                </c:pt>
                <c:pt idx="38">
                  <c:v>0.14910000000000001</c:v>
                </c:pt>
                <c:pt idx="39">
                  <c:v>0.16339999999999999</c:v>
                </c:pt>
                <c:pt idx="40">
                  <c:v>0.16500000000000001</c:v>
                </c:pt>
                <c:pt idx="41">
                  <c:v>0.16600000000000001</c:v>
                </c:pt>
                <c:pt idx="42">
                  <c:v>0.17399999999999999</c:v>
                </c:pt>
                <c:pt idx="43">
                  <c:v>0.17499999999999999</c:v>
                </c:pt>
                <c:pt idx="44">
                  <c:v>0.17780000000000001</c:v>
                </c:pt>
                <c:pt idx="45">
                  <c:v>0.17899999999999999</c:v>
                </c:pt>
                <c:pt idx="46">
                  <c:v>0.18060000000000001</c:v>
                </c:pt>
                <c:pt idx="47">
                  <c:v>0.189</c:v>
                </c:pt>
                <c:pt idx="48">
                  <c:v>0.19220000000000001</c:v>
                </c:pt>
                <c:pt idx="49">
                  <c:v>0.19800000000000001</c:v>
                </c:pt>
                <c:pt idx="50">
                  <c:v>0.19800000000000001</c:v>
                </c:pt>
                <c:pt idx="51">
                  <c:v>0.19900000000000001</c:v>
                </c:pt>
                <c:pt idx="52">
                  <c:v>0.19400000000000001</c:v>
                </c:pt>
                <c:pt idx="53">
                  <c:v>0.19800000000000001</c:v>
                </c:pt>
                <c:pt idx="54">
                  <c:v>0.2</c:v>
                </c:pt>
                <c:pt idx="55">
                  <c:v>0.19900000000000001</c:v>
                </c:pt>
                <c:pt idx="56">
                  <c:v>0.19980000000000001</c:v>
                </c:pt>
                <c:pt idx="57">
                  <c:v>0.2011</c:v>
                </c:pt>
                <c:pt idx="58">
                  <c:v>0.20699999999999999</c:v>
                </c:pt>
                <c:pt idx="59">
                  <c:v>0.2082</c:v>
                </c:pt>
                <c:pt idx="60">
                  <c:v>0.20899999999999999</c:v>
                </c:pt>
                <c:pt idx="61">
                  <c:v>0.21199999999999999</c:v>
                </c:pt>
                <c:pt idx="62">
                  <c:v>0.21337999999999999</c:v>
                </c:pt>
                <c:pt idx="63">
                  <c:v>0.21457999999999999</c:v>
                </c:pt>
                <c:pt idx="64">
                  <c:v>0.21679999999999999</c:v>
                </c:pt>
                <c:pt idx="65">
                  <c:v>0.21689</c:v>
                </c:pt>
                <c:pt idx="66">
                  <c:v>0.215</c:v>
                </c:pt>
                <c:pt idx="67">
                  <c:v>0.21560000000000001</c:v>
                </c:pt>
                <c:pt idx="68">
                  <c:v>0.21759999999999999</c:v>
                </c:pt>
                <c:pt idx="69">
                  <c:v>0.22172</c:v>
                </c:pt>
                <c:pt idx="70">
                  <c:v>0.22303999999999999</c:v>
                </c:pt>
                <c:pt idx="71">
                  <c:v>0.22550000000000001</c:v>
                </c:pt>
                <c:pt idx="72">
                  <c:v>0.22470000000000001</c:v>
                </c:pt>
                <c:pt idx="73">
                  <c:v>0.22339999999999999</c:v>
                </c:pt>
                <c:pt idx="74">
                  <c:v>0.22348999999999999</c:v>
                </c:pt>
                <c:pt idx="75">
                  <c:v>0.22670000000000001</c:v>
                </c:pt>
                <c:pt idx="76">
                  <c:v>0.22939999999999999</c:v>
                </c:pt>
                <c:pt idx="77">
                  <c:v>0.22936000000000001</c:v>
                </c:pt>
                <c:pt idx="78">
                  <c:v>0.23014999999999999</c:v>
                </c:pt>
                <c:pt idx="79">
                  <c:v>0.23089999999999999</c:v>
                </c:pt>
                <c:pt idx="80">
                  <c:v>0.23080000000000001</c:v>
                </c:pt>
                <c:pt idx="81">
                  <c:v>0.23219999999999999</c:v>
                </c:pt>
                <c:pt idx="82">
                  <c:v>0.23269999999999999</c:v>
                </c:pt>
                <c:pt idx="83">
                  <c:v>0.2336</c:v>
                </c:pt>
                <c:pt idx="84">
                  <c:v>0.2349</c:v>
                </c:pt>
                <c:pt idx="85">
                  <c:v>0.23200000000000001</c:v>
                </c:pt>
                <c:pt idx="86">
                  <c:v>0.23139999999999999</c:v>
                </c:pt>
                <c:pt idx="87">
                  <c:v>0.23449999999999999</c:v>
                </c:pt>
                <c:pt idx="88">
                  <c:v>0.2369</c:v>
                </c:pt>
                <c:pt idx="89">
                  <c:v>0.23899999999999999</c:v>
                </c:pt>
                <c:pt idx="90">
                  <c:v>0.23799999999999999</c:v>
                </c:pt>
                <c:pt idx="91">
                  <c:v>0.23400000000000001</c:v>
                </c:pt>
                <c:pt idx="92">
                  <c:v>0.2346</c:v>
                </c:pt>
                <c:pt idx="93">
                  <c:v>0.23810000000000001</c:v>
                </c:pt>
                <c:pt idx="94">
                  <c:v>0.23899999999999999</c:v>
                </c:pt>
                <c:pt idx="95">
                  <c:v>0.2392</c:v>
                </c:pt>
                <c:pt idx="96">
                  <c:v>0.23799999999999999</c:v>
                </c:pt>
                <c:pt idx="97">
                  <c:v>0.23849999999999999</c:v>
                </c:pt>
                <c:pt idx="98">
                  <c:v>0.23580000000000001</c:v>
                </c:pt>
                <c:pt idx="99">
                  <c:v>0.23400000000000001</c:v>
                </c:pt>
                <c:pt idx="100">
                  <c:v>0.23300000000000001</c:v>
                </c:pt>
                <c:pt idx="101">
                  <c:v>0.23400000000000001</c:v>
                </c:pt>
                <c:pt idx="102">
                  <c:v>0.23599999999999999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89-234F-80AD-E9C1827A3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984456"/>
        <c:axId val="2090221976"/>
      </c:scatterChart>
      <c:valAx>
        <c:axId val="2091984456"/>
        <c:scaling>
          <c:orientation val="minMax"/>
          <c:max val="1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0221976"/>
        <c:crosses val="autoZero"/>
        <c:crossBetween val="midCat"/>
      </c:valAx>
      <c:valAx>
        <c:axId val="2090221976"/>
        <c:scaling>
          <c:orientation val="minMax"/>
          <c:max val="0.3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1984456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59759425049"/>
          <c:y val="3.1438360167908699E-2"/>
          <c:w val="0.869082323613658"/>
          <c:h val="0.71345836261133"/>
        </c:manualLayout>
      </c:layout>
      <c:barChart>
        <c:barDir val="col"/>
        <c:grouping val="clustered"/>
        <c:varyColors val="0"/>
        <c:ser>
          <c:idx val="0"/>
          <c:order val="0"/>
          <c:tx>
            <c:v>NADH</c:v>
          </c:tx>
          <c:spPr>
            <a:solidFill>
              <a:schemeClr val="bg1"/>
            </a:solidFill>
            <a:ln w="1905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[7]Sheet2!$G$2:$G$8</c:f>
                <c:numCache>
                  <c:formatCode>General</c:formatCode>
                  <c:ptCount val="7"/>
                  <c:pt idx="0">
                    <c:v>1.7481092856123447E-2</c:v>
                  </c:pt>
                  <c:pt idx="1">
                    <c:v>2.6705346410422676E-2</c:v>
                  </c:pt>
                  <c:pt idx="2">
                    <c:v>0.15070416689775556</c:v>
                  </c:pt>
                  <c:pt idx="3">
                    <c:v>6.4914873306269414E-3</c:v>
                  </c:pt>
                  <c:pt idx="4">
                    <c:v>2.8665529696147326E-2</c:v>
                  </c:pt>
                  <c:pt idx="5">
                    <c:v>1.6795798070531658E-2</c:v>
                  </c:pt>
                  <c:pt idx="6">
                    <c:v>4.0487417038232186E-2</c:v>
                  </c:pt>
                </c:numCache>
              </c:numRef>
            </c:plus>
            <c:minus>
              <c:numRef>
                <c:f>[7]Sheet2!$G$2:$G$8</c:f>
                <c:numCache>
                  <c:formatCode>General</c:formatCode>
                  <c:ptCount val="7"/>
                  <c:pt idx="0">
                    <c:v>1.7481092856123447E-2</c:v>
                  </c:pt>
                  <c:pt idx="1">
                    <c:v>2.6705346410422676E-2</c:v>
                  </c:pt>
                  <c:pt idx="2">
                    <c:v>0.15070416689775556</c:v>
                  </c:pt>
                  <c:pt idx="3">
                    <c:v>6.4914873306269414E-3</c:v>
                  </c:pt>
                  <c:pt idx="4">
                    <c:v>2.8665529696147326E-2</c:v>
                  </c:pt>
                  <c:pt idx="5">
                    <c:v>1.6795798070531658E-2</c:v>
                  </c:pt>
                  <c:pt idx="6">
                    <c:v>4.0487417038232186E-2</c:v>
                  </c:pt>
                </c:numCache>
              </c:numRef>
            </c:minus>
            <c:spPr>
              <a:ln w="19050">
                <a:solidFill>
                  <a:schemeClr val="tx1"/>
                </a:solidFill>
              </a:ln>
            </c:spPr>
          </c:errBars>
          <c:cat>
            <c:strRef>
              <c:f>[7]Sheet2!$B$2:$B$8</c:f>
              <c:strCache>
                <c:ptCount val="7"/>
                <c:pt idx="0">
                  <c:v>Cherry</c:v>
                </c:pt>
                <c:pt idx="1">
                  <c:v>NMNAT2</c:v>
                </c:pt>
                <c:pt idx="2">
                  <c:v>C164/C165</c:v>
                </c:pt>
                <c:pt idx="3">
                  <c:v>ED</c:v>
                </c:pt>
                <c:pt idx="4">
                  <c:v>NTD</c:v>
                </c:pt>
                <c:pt idx="5">
                  <c:v>CTD</c:v>
                </c:pt>
                <c:pt idx="6">
                  <c:v>CATP</c:v>
                </c:pt>
              </c:strCache>
            </c:strRef>
          </c:cat>
          <c:val>
            <c:numRef>
              <c:f>[7]Sheet2!$F$2:$F$8</c:f>
              <c:numCache>
                <c:formatCode>General</c:formatCode>
                <c:ptCount val="7"/>
                <c:pt idx="0">
                  <c:v>0.31913983966666665</c:v>
                </c:pt>
                <c:pt idx="1">
                  <c:v>0.78533575846666659</c:v>
                </c:pt>
                <c:pt idx="2">
                  <c:v>1.5241936108133334</c:v>
                </c:pt>
                <c:pt idx="3">
                  <c:v>0.29695432516666664</c:v>
                </c:pt>
                <c:pt idx="4">
                  <c:v>0.2910865153333333</c:v>
                </c:pt>
                <c:pt idx="5">
                  <c:v>0.80896913433333328</c:v>
                </c:pt>
                <c:pt idx="6">
                  <c:v>0.8113296533333334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6-9E4D-89C0-79EC0A50FFA8}"/>
            </c:ext>
          </c:extLst>
        </c:ser>
        <c:ser>
          <c:idx val="1"/>
          <c:order val="1"/>
          <c:tx>
            <c:v>NAD</c:v>
          </c:tx>
          <c:spPr>
            <a:solidFill>
              <a:schemeClr val="tx1"/>
            </a:solidFill>
            <a:ln w="1905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[7]Sheet2!$N$2:$N$8</c:f>
                <c:numCache>
                  <c:formatCode>General</c:formatCode>
                  <c:ptCount val="7"/>
                  <c:pt idx="0">
                    <c:v>2.5531439536902047E-2</c:v>
                  </c:pt>
                  <c:pt idx="1">
                    <c:v>2.497894317621295E-2</c:v>
                  </c:pt>
                  <c:pt idx="2">
                    <c:v>5.1231568988877818E-2</c:v>
                  </c:pt>
                  <c:pt idx="3">
                    <c:v>1.7022846952429119E-2</c:v>
                  </c:pt>
                  <c:pt idx="4">
                    <c:v>3.4024917189214986E-2</c:v>
                  </c:pt>
                  <c:pt idx="5">
                    <c:v>4.1100430203526696E-2</c:v>
                  </c:pt>
                  <c:pt idx="6">
                    <c:v>3.0224522759490047E-2</c:v>
                  </c:pt>
                </c:numCache>
              </c:numRef>
            </c:plus>
            <c:minus>
              <c:numRef>
                <c:f>[7]Sheet2!$N$2:$N$8</c:f>
                <c:numCache>
                  <c:formatCode>General</c:formatCode>
                  <c:ptCount val="7"/>
                  <c:pt idx="0">
                    <c:v>2.5531439536902047E-2</c:v>
                  </c:pt>
                  <c:pt idx="1">
                    <c:v>2.497894317621295E-2</c:v>
                  </c:pt>
                  <c:pt idx="2">
                    <c:v>5.1231568988877818E-2</c:v>
                  </c:pt>
                  <c:pt idx="3">
                    <c:v>1.7022846952429119E-2</c:v>
                  </c:pt>
                  <c:pt idx="4">
                    <c:v>3.4024917189214986E-2</c:v>
                  </c:pt>
                  <c:pt idx="5">
                    <c:v>4.1100430203526696E-2</c:v>
                  </c:pt>
                  <c:pt idx="6">
                    <c:v>3.0224522759490047E-2</c:v>
                  </c:pt>
                </c:numCache>
              </c:numRef>
            </c:minus>
            <c:spPr>
              <a:ln w="19050">
                <a:solidFill>
                  <a:schemeClr val="tx1"/>
                </a:solidFill>
              </a:ln>
            </c:spPr>
          </c:errBars>
          <c:val>
            <c:numRef>
              <c:f>[7]Sheet2!$M$2:$M$8</c:f>
              <c:numCache>
                <c:formatCode>General</c:formatCode>
                <c:ptCount val="7"/>
                <c:pt idx="0">
                  <c:v>0.31420271196666666</c:v>
                </c:pt>
                <c:pt idx="1">
                  <c:v>0.88039895851033334</c:v>
                </c:pt>
                <c:pt idx="2">
                  <c:v>1.2022535350699999</c:v>
                </c:pt>
                <c:pt idx="3">
                  <c:v>0.28521352500000002</c:v>
                </c:pt>
                <c:pt idx="4">
                  <c:v>0.28239250466666665</c:v>
                </c:pt>
                <c:pt idx="5">
                  <c:v>0.8212258280000001</c:v>
                </c:pt>
                <c:pt idx="6">
                  <c:v>0.83300291100000001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6-9E4D-89C0-79EC0A50F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977960"/>
        <c:axId val="2099842296"/>
      </c:barChart>
      <c:catAx>
        <c:axId val="2098977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099842296"/>
        <c:crosses val="autoZero"/>
        <c:auto val="1"/>
        <c:lblAlgn val="ctr"/>
        <c:lblOffset val="100"/>
        <c:noMultiLvlLbl val="0"/>
      </c:catAx>
      <c:valAx>
        <c:axId val="2099842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098977960"/>
        <c:crosses val="autoZero"/>
        <c:crossBetween val="between"/>
        <c:majorUnit val="0.4"/>
      </c:valAx>
    </c:plotArea>
    <c:legend>
      <c:legendPos val="t"/>
      <c:layout>
        <c:manualLayout>
          <c:xMode val="edge"/>
          <c:yMode val="edge"/>
          <c:x val="0.1262017361985"/>
          <c:y val="3.9077941896230803E-2"/>
          <c:w val="0.111041557305337"/>
          <c:h val="8.481232688770019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'Figure S4'!$D$51:$D$54</c:f>
                <c:numCache>
                  <c:formatCode>General</c:formatCode>
                  <c:ptCount val="4"/>
                  <c:pt idx="0">
                    <c:v>0.23069960656201199</c:v>
                  </c:pt>
                  <c:pt idx="1">
                    <c:v>0.40406861998276139</c:v>
                  </c:pt>
                  <c:pt idx="2">
                    <c:v>0.92040873210287333</c:v>
                  </c:pt>
                  <c:pt idx="3">
                    <c:v>0.31161631736955769</c:v>
                  </c:pt>
                </c:numCache>
              </c:numRef>
            </c:plus>
            <c:minus>
              <c:numRef>
                <c:f>'Figure S4'!$D$51:$D$54</c:f>
                <c:numCache>
                  <c:formatCode>General</c:formatCode>
                  <c:ptCount val="4"/>
                  <c:pt idx="0">
                    <c:v>0.23069960656201199</c:v>
                  </c:pt>
                  <c:pt idx="1">
                    <c:v>0.40406861998276139</c:v>
                  </c:pt>
                  <c:pt idx="2">
                    <c:v>0.92040873210287333</c:v>
                  </c:pt>
                  <c:pt idx="3">
                    <c:v>0.31161631736955769</c:v>
                  </c:pt>
                </c:numCache>
              </c:numRef>
            </c:minus>
          </c:errBars>
          <c:cat>
            <c:strRef>
              <c:f>'Figure S4'!$B$51:$B$54</c:f>
              <c:strCache>
                <c:ptCount val="4"/>
                <c:pt idx="0">
                  <c:v>GFP</c:v>
                </c:pt>
                <c:pt idx="1">
                  <c:v>WT</c:v>
                </c:pt>
                <c:pt idx="2">
                  <c:v>ED</c:v>
                </c:pt>
                <c:pt idx="3">
                  <c:v>cATP</c:v>
                </c:pt>
              </c:strCache>
            </c:strRef>
          </c:cat>
          <c:val>
            <c:numRef>
              <c:f>'Figure S4'!$C$51:$C$54</c:f>
              <c:numCache>
                <c:formatCode>General</c:formatCode>
                <c:ptCount val="4"/>
                <c:pt idx="0">
                  <c:v>3.6630308060149783</c:v>
                </c:pt>
                <c:pt idx="1">
                  <c:v>7.5795509185158849</c:v>
                </c:pt>
                <c:pt idx="2">
                  <c:v>3.5286291092800077</c:v>
                </c:pt>
                <c:pt idx="3">
                  <c:v>6.974693882927923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F-F849-A1F0-8140D588C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948392"/>
        <c:axId val="2093281864"/>
      </c:barChart>
      <c:catAx>
        <c:axId val="2093948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93281864"/>
        <c:crosses val="autoZero"/>
        <c:auto val="1"/>
        <c:lblAlgn val="ctr"/>
        <c:lblOffset val="100"/>
        <c:noMultiLvlLbl val="0"/>
      </c:catAx>
      <c:valAx>
        <c:axId val="2093281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3948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 HS</c:v>
          </c:tx>
          <c:spPr>
            <a:solidFill>
              <a:srgbClr val="3366FF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S7'!$C$24:$C$29</c:f>
                <c:numCache>
                  <c:formatCode>General</c:formatCode>
                  <c:ptCount val="6"/>
                  <c:pt idx="0">
                    <c:v>5.0761345408846491E-2</c:v>
                  </c:pt>
                  <c:pt idx="1">
                    <c:v>5.4995308787201359E-2</c:v>
                  </c:pt>
                  <c:pt idx="2">
                    <c:v>5.0451938943080504E-2</c:v>
                  </c:pt>
                  <c:pt idx="3">
                    <c:v>2.2322919618911044E-2</c:v>
                  </c:pt>
                  <c:pt idx="4">
                    <c:v>1.61666074573108E-2</c:v>
                  </c:pt>
                  <c:pt idx="5">
                    <c:v>3.0373320036018295E-2</c:v>
                  </c:pt>
                </c:numCache>
              </c:numRef>
            </c:plus>
            <c:minus>
              <c:numRef>
                <c:f>'Figure S7'!$C$24:$C$29</c:f>
                <c:numCache>
                  <c:formatCode>General</c:formatCode>
                  <c:ptCount val="6"/>
                  <c:pt idx="0">
                    <c:v>5.0761345408846491E-2</c:v>
                  </c:pt>
                  <c:pt idx="1">
                    <c:v>5.4995308787201359E-2</c:v>
                  </c:pt>
                  <c:pt idx="2">
                    <c:v>5.0451938943080504E-2</c:v>
                  </c:pt>
                  <c:pt idx="3">
                    <c:v>2.2322919618911044E-2</c:v>
                  </c:pt>
                  <c:pt idx="4">
                    <c:v>1.61666074573108E-2</c:v>
                  </c:pt>
                  <c:pt idx="5">
                    <c:v>3.0373320036018295E-2</c:v>
                  </c:pt>
                </c:numCache>
              </c:numRef>
            </c:minus>
          </c:errBars>
          <c:cat>
            <c:strRef>
              <c:f>'Figure S7'!$A$24:$A$29</c:f>
              <c:strCache>
                <c:ptCount val="6"/>
                <c:pt idx="0">
                  <c:v>mCherry</c:v>
                </c:pt>
                <c:pt idx="1">
                  <c:v>mCherry+HSP90inh</c:v>
                </c:pt>
                <c:pt idx="2">
                  <c:v>mCherry+HSP90sirNA</c:v>
                </c:pt>
                <c:pt idx="3">
                  <c:v>mCherry+HSFinh</c:v>
                </c:pt>
                <c:pt idx="4">
                  <c:v>mCherry+hsp90inh+hsfinh</c:v>
                </c:pt>
                <c:pt idx="5">
                  <c:v>mCherry+HSP90siRNA+HSFinh</c:v>
                </c:pt>
              </c:strCache>
            </c:strRef>
          </c:cat>
          <c:val>
            <c:numRef>
              <c:f>'Figure S7'!$B$24:$B$29</c:f>
              <c:numCache>
                <c:formatCode>General</c:formatCode>
                <c:ptCount val="6"/>
                <c:pt idx="0">
                  <c:v>0.99999999999999989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C-2647-AD49-69575BB58D6C}"/>
            </c:ext>
          </c:extLst>
        </c:ser>
        <c:ser>
          <c:idx val="1"/>
          <c:order val="1"/>
          <c:tx>
            <c:v>HS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S7'!$E$24:$E$29</c:f>
                <c:numCache>
                  <c:formatCode>General</c:formatCode>
                  <c:ptCount val="6"/>
                  <c:pt idx="0">
                    <c:v>1.7388361247122182E-2</c:v>
                  </c:pt>
                  <c:pt idx="1">
                    <c:v>1.8852055609923785E-2</c:v>
                  </c:pt>
                  <c:pt idx="2">
                    <c:v>1.5362936372040534E-2</c:v>
                  </c:pt>
                  <c:pt idx="3">
                    <c:v>4.6207386157823228E-3</c:v>
                  </c:pt>
                  <c:pt idx="4">
                    <c:v>2.0024094260408117E-3</c:v>
                  </c:pt>
                  <c:pt idx="5">
                    <c:v>4.2775687111887653E-4</c:v>
                  </c:pt>
                </c:numCache>
              </c:numRef>
            </c:plus>
            <c:minus>
              <c:numRef>
                <c:f>'Figure S7'!$E$24:$E$29</c:f>
                <c:numCache>
                  <c:formatCode>General</c:formatCode>
                  <c:ptCount val="6"/>
                  <c:pt idx="0">
                    <c:v>1.7388361247122182E-2</c:v>
                  </c:pt>
                  <c:pt idx="1">
                    <c:v>1.8852055609923785E-2</c:v>
                  </c:pt>
                  <c:pt idx="2">
                    <c:v>1.5362936372040534E-2</c:v>
                  </c:pt>
                  <c:pt idx="3">
                    <c:v>4.6207386157823228E-3</c:v>
                  </c:pt>
                  <c:pt idx="4">
                    <c:v>2.0024094260408117E-3</c:v>
                  </c:pt>
                  <c:pt idx="5">
                    <c:v>4.2775687111887653E-4</c:v>
                  </c:pt>
                </c:numCache>
              </c:numRef>
            </c:minus>
          </c:errBars>
          <c:cat>
            <c:strRef>
              <c:f>'Figure S7'!$A$24:$A$29</c:f>
              <c:strCache>
                <c:ptCount val="6"/>
                <c:pt idx="0">
                  <c:v>mCherry</c:v>
                </c:pt>
                <c:pt idx="1">
                  <c:v>mCherry+HSP90inh</c:v>
                </c:pt>
                <c:pt idx="2">
                  <c:v>mCherry+HSP90sirNA</c:v>
                </c:pt>
                <c:pt idx="3">
                  <c:v>mCherry+HSFinh</c:v>
                </c:pt>
                <c:pt idx="4">
                  <c:v>mCherry+hsp90inh+hsfinh</c:v>
                </c:pt>
                <c:pt idx="5">
                  <c:v>mCherry+HSP90siRNA+HSFinh</c:v>
                </c:pt>
              </c:strCache>
            </c:strRef>
          </c:cat>
          <c:val>
            <c:numRef>
              <c:f>'Figure S7'!$D$24:$D$29</c:f>
              <c:numCache>
                <c:formatCode>General</c:formatCode>
                <c:ptCount val="6"/>
                <c:pt idx="0">
                  <c:v>0.10361011013209022</c:v>
                </c:pt>
                <c:pt idx="1">
                  <c:v>0.21109525641961477</c:v>
                </c:pt>
                <c:pt idx="2">
                  <c:v>0.19016010434689079</c:v>
                </c:pt>
                <c:pt idx="3">
                  <c:v>5.0699012206670536E-2</c:v>
                </c:pt>
                <c:pt idx="4">
                  <c:v>4.4463383813333035E-2</c:v>
                </c:pt>
                <c:pt idx="5">
                  <c:v>3.7138863279477123E-2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C-2647-AD49-69575BB58D6C}"/>
            </c:ext>
          </c:extLst>
        </c:ser>
        <c:ser>
          <c:idx val="2"/>
          <c:order val="2"/>
          <c:tx>
            <c:v>Recovery</c:v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S7'!$G$24:$G$29</c:f>
                <c:numCache>
                  <c:formatCode>General</c:formatCode>
                  <c:ptCount val="6"/>
                  <c:pt idx="0">
                    <c:v>1.098506330948862E-2</c:v>
                  </c:pt>
                  <c:pt idx="1">
                    <c:v>2.1873889292648951E-2</c:v>
                  </c:pt>
                  <c:pt idx="2">
                    <c:v>1.4606590310322153E-2</c:v>
                  </c:pt>
                  <c:pt idx="3">
                    <c:v>3.4934734273303625E-3</c:v>
                  </c:pt>
                  <c:pt idx="4">
                    <c:v>6.8774213674187229E-3</c:v>
                  </c:pt>
                  <c:pt idx="5">
                    <c:v>1.1574767568404518E-2</c:v>
                  </c:pt>
                </c:numCache>
              </c:numRef>
            </c:plus>
            <c:minus>
              <c:numRef>
                <c:f>'Figure S7'!$G$24:$G$29</c:f>
                <c:numCache>
                  <c:formatCode>General</c:formatCode>
                  <c:ptCount val="6"/>
                  <c:pt idx="0">
                    <c:v>1.098506330948862E-2</c:v>
                  </c:pt>
                  <c:pt idx="1">
                    <c:v>2.1873889292648951E-2</c:v>
                  </c:pt>
                  <c:pt idx="2">
                    <c:v>1.4606590310322153E-2</c:v>
                  </c:pt>
                  <c:pt idx="3">
                    <c:v>3.4934734273303625E-3</c:v>
                  </c:pt>
                  <c:pt idx="4">
                    <c:v>6.8774213674187229E-3</c:v>
                  </c:pt>
                  <c:pt idx="5">
                    <c:v>1.1574767568404518E-2</c:v>
                  </c:pt>
                </c:numCache>
              </c:numRef>
            </c:minus>
          </c:errBars>
          <c:cat>
            <c:strRef>
              <c:f>'Figure S7'!$A$24:$A$29</c:f>
              <c:strCache>
                <c:ptCount val="6"/>
                <c:pt idx="0">
                  <c:v>mCherry</c:v>
                </c:pt>
                <c:pt idx="1">
                  <c:v>mCherry+HSP90inh</c:v>
                </c:pt>
                <c:pt idx="2">
                  <c:v>mCherry+HSP90sirNA</c:v>
                </c:pt>
                <c:pt idx="3">
                  <c:v>mCherry+HSFinh</c:v>
                </c:pt>
                <c:pt idx="4">
                  <c:v>mCherry+hsp90inh+hsfinh</c:v>
                </c:pt>
                <c:pt idx="5">
                  <c:v>mCherry+HSP90siRNA+HSFinh</c:v>
                </c:pt>
              </c:strCache>
            </c:strRef>
          </c:cat>
          <c:val>
            <c:numRef>
              <c:f>'Figure S7'!$F$24:$F$29</c:f>
              <c:numCache>
                <c:formatCode>General</c:formatCode>
                <c:ptCount val="6"/>
                <c:pt idx="0">
                  <c:v>0.20812049710510072</c:v>
                </c:pt>
                <c:pt idx="1">
                  <c:v>0.31082665486396255</c:v>
                </c:pt>
                <c:pt idx="2">
                  <c:v>0.29364932556023704</c:v>
                </c:pt>
                <c:pt idx="3">
                  <c:v>9.8124937819925095E-2</c:v>
                </c:pt>
                <c:pt idx="4">
                  <c:v>9.1300888507982306E-2</c:v>
                </c:pt>
                <c:pt idx="5">
                  <c:v>8.3371597076832116E-2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C-2647-AD49-69575BB5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238520"/>
        <c:axId val="2093337512"/>
      </c:barChart>
      <c:catAx>
        <c:axId val="2093238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93337512"/>
        <c:crosses val="autoZero"/>
        <c:auto val="1"/>
        <c:lblAlgn val="ctr"/>
        <c:lblOffset val="100"/>
        <c:noMultiLvlLbl val="0"/>
      </c:catAx>
      <c:valAx>
        <c:axId val="2093337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3238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891294838145294E-2"/>
          <c:y val="2.82524059492563E-2"/>
          <c:w val="0.90155314960629895"/>
          <c:h val="0.55598826188393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S8'!$D$33</c:f>
              <c:strCache>
                <c:ptCount val="1"/>
                <c:pt idx="0">
                  <c:v>No ppase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'[8]01272015'!$E$34:$E$38</c:f>
                <c:numCache>
                  <c:formatCode>General</c:formatCode>
                  <c:ptCount val="5"/>
                  <c:pt idx="0">
                    <c:v>3.345922892118109E-2</c:v>
                  </c:pt>
                  <c:pt idx="1">
                    <c:v>2.807829826277463E-2</c:v>
                  </c:pt>
                  <c:pt idx="2">
                    <c:v>2.3065414224187217E-2</c:v>
                  </c:pt>
                  <c:pt idx="3">
                    <c:v>4.2837285258677825E-2</c:v>
                  </c:pt>
                  <c:pt idx="4">
                    <c:v>6.6819183872098661E-2</c:v>
                  </c:pt>
                </c:numCache>
              </c:numRef>
            </c:plus>
            <c:minus>
              <c:numRef>
                <c:f>'[8]01272015'!$E$34:$E$38</c:f>
                <c:numCache>
                  <c:formatCode>General</c:formatCode>
                  <c:ptCount val="5"/>
                  <c:pt idx="0">
                    <c:v>3.345922892118109E-2</c:v>
                  </c:pt>
                  <c:pt idx="1">
                    <c:v>2.807829826277463E-2</c:v>
                  </c:pt>
                  <c:pt idx="2">
                    <c:v>2.3065414224187217E-2</c:v>
                  </c:pt>
                  <c:pt idx="3">
                    <c:v>4.2837285258677825E-2</c:v>
                  </c:pt>
                  <c:pt idx="4">
                    <c:v>6.6819183872098661E-2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S8'!$C$34:$C$38</c:f>
              <c:strCache>
                <c:ptCount val="5"/>
                <c:pt idx="0">
                  <c:v>NMNAT2</c:v>
                </c:pt>
                <c:pt idx="1">
                  <c:v>NMNAT2+ATP</c:v>
                </c:pt>
                <c:pt idx="2">
                  <c:v>NMNAT2+NMN+ATP</c:v>
                </c:pt>
                <c:pt idx="3">
                  <c:v>NMNAT2+CS+ATP</c:v>
                </c:pt>
                <c:pt idx="4">
                  <c:v>NMNAT2+CS+NMN+ATP</c:v>
                </c:pt>
              </c:strCache>
            </c:strRef>
          </c:cat>
          <c:val>
            <c:numRef>
              <c:f>'Figure S8'!$D$34:$D$38</c:f>
              <c:numCache>
                <c:formatCode>General</c:formatCode>
                <c:ptCount val="5"/>
                <c:pt idx="0">
                  <c:v>4.8532999999999972E-2</c:v>
                </c:pt>
                <c:pt idx="1">
                  <c:v>6.2549666666666628E-2</c:v>
                </c:pt>
                <c:pt idx="2">
                  <c:v>0.1184663333333333</c:v>
                </c:pt>
                <c:pt idx="3">
                  <c:v>6.6061333333333319E-2</c:v>
                </c:pt>
                <c:pt idx="4">
                  <c:v>0.11659966666666664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1-7F4B-8368-1D6260933F0E}"/>
            </c:ext>
          </c:extLst>
        </c:ser>
        <c:ser>
          <c:idx val="1"/>
          <c:order val="1"/>
          <c:tx>
            <c:strRef>
              <c:f>'[8]01272015'!$F$33</c:f>
              <c:strCache>
                <c:ptCount val="1"/>
                <c:pt idx="0">
                  <c:v>ppase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'[8]01272015'!$G$34:$G$38</c:f>
                <c:numCache>
                  <c:formatCode>General</c:formatCode>
                  <c:ptCount val="5"/>
                  <c:pt idx="0">
                    <c:v>5.6742883254201987E-2</c:v>
                  </c:pt>
                  <c:pt idx="1">
                    <c:v>1.4001101147171719E-2</c:v>
                  </c:pt>
                  <c:pt idx="2">
                    <c:v>7.4993253676580773E-2</c:v>
                  </c:pt>
                  <c:pt idx="3">
                    <c:v>1.6723956629139336E-2</c:v>
                  </c:pt>
                  <c:pt idx="4">
                    <c:v>1.813128052105905E-2</c:v>
                  </c:pt>
                </c:numCache>
              </c:numRef>
            </c:plus>
            <c:minus>
              <c:numRef>
                <c:f>'[8]01272015'!$G$34:$G$38</c:f>
                <c:numCache>
                  <c:formatCode>General</c:formatCode>
                  <c:ptCount val="5"/>
                  <c:pt idx="0">
                    <c:v>5.6742883254201987E-2</c:v>
                  </c:pt>
                  <c:pt idx="1">
                    <c:v>1.4001101147171719E-2</c:v>
                  </c:pt>
                  <c:pt idx="2">
                    <c:v>7.4993253676580773E-2</c:v>
                  </c:pt>
                  <c:pt idx="3">
                    <c:v>1.6723956629139336E-2</c:v>
                  </c:pt>
                  <c:pt idx="4">
                    <c:v>1.813128052105905E-2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S8'!$C$34:$C$38</c:f>
              <c:strCache>
                <c:ptCount val="5"/>
                <c:pt idx="0">
                  <c:v>NMNAT2</c:v>
                </c:pt>
                <c:pt idx="1">
                  <c:v>NMNAT2+ATP</c:v>
                </c:pt>
                <c:pt idx="2">
                  <c:v>NMNAT2+NMN+ATP</c:v>
                </c:pt>
                <c:pt idx="3">
                  <c:v>NMNAT2+CS+ATP</c:v>
                </c:pt>
                <c:pt idx="4">
                  <c:v>NMNAT2+CS+NMN+ATP</c:v>
                </c:pt>
              </c:strCache>
            </c:strRef>
          </c:cat>
          <c:val>
            <c:numRef>
              <c:f>'Figure S8'!$F$34:$F$38</c:f>
              <c:numCache>
                <c:formatCode>General</c:formatCode>
                <c:ptCount val="5"/>
                <c:pt idx="0">
                  <c:v>2.8472999999999988E-2</c:v>
                </c:pt>
                <c:pt idx="1">
                  <c:v>0.11421633333333331</c:v>
                </c:pt>
                <c:pt idx="2">
                  <c:v>1.5337500000000002</c:v>
                </c:pt>
                <c:pt idx="3">
                  <c:v>0.13697833333333337</c:v>
                </c:pt>
                <c:pt idx="4">
                  <c:v>1.5083663333333333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1-7F4B-8368-1D6260933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822488"/>
        <c:axId val="2093253080"/>
      </c:barChart>
      <c:catAx>
        <c:axId val="2094822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3253080"/>
        <c:crosses val="autoZero"/>
        <c:auto val="1"/>
        <c:lblAlgn val="ctr"/>
        <c:lblOffset val="100"/>
        <c:noMultiLvlLbl val="0"/>
      </c:catAx>
      <c:valAx>
        <c:axId val="2093253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482248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8.7229002624671897E-2"/>
          <c:y val="3.2407407407407399E-2"/>
          <c:w val="0.15331977252843401"/>
          <c:h val="0.1300134878973459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238393211200106E-2"/>
          <c:y val="3.7872363856615798E-2"/>
          <c:w val="0.90320605791643505"/>
          <c:h val="0.60868772522315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S8'!$D$33</c:f>
              <c:strCache>
                <c:ptCount val="1"/>
                <c:pt idx="0">
                  <c:v>No ppase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'[8]01272015'!$E$40:$E$46</c:f>
                <c:numCache>
                  <c:formatCode>General</c:formatCode>
                  <c:ptCount val="7"/>
                  <c:pt idx="0">
                    <c:v>1.8576823876360921E-2</c:v>
                  </c:pt>
                  <c:pt idx="1">
                    <c:v>1.4179397025261657E-2</c:v>
                  </c:pt>
                  <c:pt idx="2">
                    <c:v>2.2461376829571254E-2</c:v>
                  </c:pt>
                  <c:pt idx="3">
                    <c:v>4.5020328741580733E-2</c:v>
                  </c:pt>
                  <c:pt idx="4">
                    <c:v>0.33716543880848754</c:v>
                  </c:pt>
                  <c:pt idx="5">
                    <c:v>0.37229156051854606</c:v>
                  </c:pt>
                  <c:pt idx="6">
                    <c:v>6.1126824171825925E-2</c:v>
                  </c:pt>
                </c:numCache>
              </c:numRef>
            </c:plus>
            <c:minus>
              <c:numRef>
                <c:f>'[8]01272015'!$E$40:$E$46</c:f>
                <c:numCache>
                  <c:formatCode>General</c:formatCode>
                  <c:ptCount val="7"/>
                  <c:pt idx="0">
                    <c:v>1.8576823876360921E-2</c:v>
                  </c:pt>
                  <c:pt idx="1">
                    <c:v>1.4179397025261657E-2</c:v>
                  </c:pt>
                  <c:pt idx="2">
                    <c:v>2.2461376829571254E-2</c:v>
                  </c:pt>
                  <c:pt idx="3">
                    <c:v>4.5020328741580733E-2</c:v>
                  </c:pt>
                  <c:pt idx="4">
                    <c:v>0.33716543880848754</c:v>
                  </c:pt>
                  <c:pt idx="5">
                    <c:v>0.37229156051854606</c:v>
                  </c:pt>
                  <c:pt idx="6">
                    <c:v>6.1126824171825925E-2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S8'!$C$40:$C$46</c:f>
              <c:strCache>
                <c:ptCount val="7"/>
                <c:pt idx="0">
                  <c:v>HSP90</c:v>
                </c:pt>
                <c:pt idx="1">
                  <c:v>NMNAT2+HSP90</c:v>
                </c:pt>
                <c:pt idx="2">
                  <c:v>NMNAT2+HSP90+ATP</c:v>
                </c:pt>
                <c:pt idx="3">
                  <c:v>NMNAT2+HSP90+NMN+ATP</c:v>
                </c:pt>
                <c:pt idx="4">
                  <c:v>NMNAT2+HSP90+CS+ATP</c:v>
                </c:pt>
                <c:pt idx="5">
                  <c:v>NMNAT2+HSP90+CS+NMN+ATP</c:v>
                </c:pt>
                <c:pt idx="6">
                  <c:v>HSP90+CS+ATP</c:v>
                </c:pt>
              </c:strCache>
            </c:strRef>
          </c:cat>
          <c:val>
            <c:numRef>
              <c:f>'Figure S8'!$D$40:$D$46</c:f>
              <c:numCache>
                <c:formatCode>General</c:formatCode>
                <c:ptCount val="7"/>
                <c:pt idx="0">
                  <c:v>5.9588333333333299E-2</c:v>
                </c:pt>
                <c:pt idx="1">
                  <c:v>7.9342999999999955E-2</c:v>
                </c:pt>
                <c:pt idx="2">
                  <c:v>9.9343199999999965E-2</c:v>
                </c:pt>
                <c:pt idx="3">
                  <c:v>0.14863299999999993</c:v>
                </c:pt>
                <c:pt idx="4">
                  <c:v>2.1227678846666667</c:v>
                </c:pt>
                <c:pt idx="5">
                  <c:v>2.1739496666666667</c:v>
                </c:pt>
                <c:pt idx="6">
                  <c:v>0.94080966666666654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6-BF4E-A43C-13BFF64BED19}"/>
            </c:ext>
          </c:extLst>
        </c:ser>
        <c:ser>
          <c:idx val="1"/>
          <c:order val="1"/>
          <c:tx>
            <c:strRef>
              <c:f>'Figure S8'!$F$33</c:f>
              <c:strCache>
                <c:ptCount val="1"/>
                <c:pt idx="0">
                  <c:v>ppase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'[8]01272015'!$G$40:$G$46</c:f>
                <c:numCache>
                  <c:formatCode>General</c:formatCode>
                  <c:ptCount val="7"/>
                  <c:pt idx="0">
                    <c:v>2.4989417787002033E-2</c:v>
                  </c:pt>
                  <c:pt idx="1">
                    <c:v>2.4100631874496528E-2</c:v>
                  </c:pt>
                  <c:pt idx="2">
                    <c:v>1.5631721475603193E-2</c:v>
                  </c:pt>
                  <c:pt idx="3">
                    <c:v>0.34233283818529653</c:v>
                  </c:pt>
                  <c:pt idx="4">
                    <c:v>0.11284911973663474</c:v>
                  </c:pt>
                  <c:pt idx="5">
                    <c:v>9.1713266942865412E-2</c:v>
                  </c:pt>
                  <c:pt idx="6">
                    <c:v>7.1859399756283276E-2</c:v>
                  </c:pt>
                </c:numCache>
              </c:numRef>
            </c:plus>
            <c:minus>
              <c:numRef>
                <c:f>'[8]01272015'!$G$40:$G$46</c:f>
                <c:numCache>
                  <c:formatCode>General</c:formatCode>
                  <c:ptCount val="7"/>
                  <c:pt idx="0">
                    <c:v>2.4989417787002033E-2</c:v>
                  </c:pt>
                  <c:pt idx="1">
                    <c:v>2.4100631874496528E-2</c:v>
                  </c:pt>
                  <c:pt idx="2">
                    <c:v>1.5631721475603193E-2</c:v>
                  </c:pt>
                  <c:pt idx="3">
                    <c:v>0.34233283818529653</c:v>
                  </c:pt>
                  <c:pt idx="4">
                    <c:v>0.11284911973663474</c:v>
                  </c:pt>
                  <c:pt idx="5">
                    <c:v>9.1713266942865412E-2</c:v>
                  </c:pt>
                  <c:pt idx="6">
                    <c:v>7.1859399756283276E-2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S8'!$C$40:$C$46</c:f>
              <c:strCache>
                <c:ptCount val="7"/>
                <c:pt idx="0">
                  <c:v>HSP90</c:v>
                </c:pt>
                <c:pt idx="1">
                  <c:v>NMNAT2+HSP90</c:v>
                </c:pt>
                <c:pt idx="2">
                  <c:v>NMNAT2+HSP90+ATP</c:v>
                </c:pt>
                <c:pt idx="3">
                  <c:v>NMNAT2+HSP90+NMN+ATP</c:v>
                </c:pt>
                <c:pt idx="4">
                  <c:v>NMNAT2+HSP90+CS+ATP</c:v>
                </c:pt>
                <c:pt idx="5">
                  <c:v>NMNAT2+HSP90+CS+NMN+ATP</c:v>
                </c:pt>
                <c:pt idx="6">
                  <c:v>HSP90+CS+ATP</c:v>
                </c:pt>
              </c:strCache>
            </c:strRef>
          </c:cat>
          <c:val>
            <c:numRef>
              <c:f>'Figure S8'!$F$40:$F$46</c:f>
              <c:numCache>
                <c:formatCode>General</c:formatCode>
                <c:ptCount val="7"/>
                <c:pt idx="0">
                  <c:v>3.5010333333333331E-2</c:v>
                </c:pt>
                <c:pt idx="1">
                  <c:v>0.1105915</c:v>
                </c:pt>
                <c:pt idx="2">
                  <c:v>0.13542388333333336</c:v>
                </c:pt>
                <c:pt idx="3">
                  <c:v>1.515973</c:v>
                </c:pt>
                <c:pt idx="4">
                  <c:v>1.7097043333333335</c:v>
                </c:pt>
                <c:pt idx="5">
                  <c:v>3.6141996666666665</c:v>
                </c:pt>
                <c:pt idx="6">
                  <c:v>0.76586633333333332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6-BF4E-A43C-13BFF64BE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765688"/>
        <c:axId val="2094666968"/>
      </c:barChart>
      <c:catAx>
        <c:axId val="2093765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4666968"/>
        <c:crosses val="autoZero"/>
        <c:auto val="1"/>
        <c:lblAlgn val="ctr"/>
        <c:lblOffset val="100"/>
        <c:noMultiLvlLbl val="0"/>
      </c:catAx>
      <c:valAx>
        <c:axId val="2094666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376568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2784537886146504E-2"/>
          <c:y val="4.6620046620046603E-2"/>
          <c:w val="0.16443084767479299"/>
          <c:h val="8.106577586892549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238393211200106E-2"/>
          <c:y val="3.7872363856615798E-2"/>
          <c:w val="0.90320605791643505"/>
          <c:h val="0.60868772522315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S9'!$E$3</c:f>
              <c:strCache>
                <c:ptCount val="1"/>
                <c:pt idx="0">
                  <c:v>NO PPASE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'[8]01292015'!$E$65:$E$70</c:f>
                <c:numCache>
                  <c:formatCode>General</c:formatCode>
                  <c:ptCount val="6"/>
                  <c:pt idx="0">
                    <c:v>4.2860510185173161E-3</c:v>
                  </c:pt>
                  <c:pt idx="1">
                    <c:v>2.490407998702222E-2</c:v>
                  </c:pt>
                  <c:pt idx="2">
                    <c:v>1.2221065147250167E-2</c:v>
                  </c:pt>
                  <c:pt idx="3">
                    <c:v>1.047342828304083E-2</c:v>
                  </c:pt>
                  <c:pt idx="4">
                    <c:v>6.0425610740259296E-2</c:v>
                  </c:pt>
                  <c:pt idx="5">
                    <c:v>5.5568220561156553E-2</c:v>
                  </c:pt>
                </c:numCache>
              </c:numRef>
            </c:plus>
            <c:minus>
              <c:numRef>
                <c:f>'[8]01292015'!$E$65:$E$70</c:f>
                <c:numCache>
                  <c:formatCode>General</c:formatCode>
                  <c:ptCount val="6"/>
                  <c:pt idx="0">
                    <c:v>4.2860510185173161E-3</c:v>
                  </c:pt>
                  <c:pt idx="1">
                    <c:v>2.490407998702222E-2</c:v>
                  </c:pt>
                  <c:pt idx="2">
                    <c:v>1.2221065147250167E-2</c:v>
                  </c:pt>
                  <c:pt idx="3">
                    <c:v>1.047342828304083E-2</c:v>
                  </c:pt>
                  <c:pt idx="4">
                    <c:v>6.0425610740259296E-2</c:v>
                  </c:pt>
                  <c:pt idx="5">
                    <c:v>5.5568220561156553E-2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S9'!$C$23:$C$28</c:f>
              <c:strCache>
                <c:ptCount val="6"/>
                <c:pt idx="0">
                  <c:v>cATP+ATP</c:v>
                </c:pt>
                <c:pt idx="1">
                  <c:v>cATP+NMN+ATP</c:v>
                </c:pt>
                <c:pt idx="2">
                  <c:v>cATP+HSP90+ATP</c:v>
                </c:pt>
                <c:pt idx="3">
                  <c:v>cATP+HSP90+NMN+ATP</c:v>
                </c:pt>
                <c:pt idx="4">
                  <c:v>cATP+HSP90+CS+ATP</c:v>
                </c:pt>
                <c:pt idx="5">
                  <c:v>cATP+HSP90+CS+NMN+ATP</c:v>
                </c:pt>
              </c:strCache>
            </c:strRef>
          </c:cat>
          <c:val>
            <c:numRef>
              <c:f>'Figure S9'!$D$23:$D$28</c:f>
              <c:numCache>
                <c:formatCode>General</c:formatCode>
                <c:ptCount val="6"/>
                <c:pt idx="0">
                  <c:v>4.4809666666666671E-2</c:v>
                </c:pt>
                <c:pt idx="1">
                  <c:v>7.6793E-2</c:v>
                </c:pt>
                <c:pt idx="2">
                  <c:v>4.0946333333333328E-2</c:v>
                </c:pt>
                <c:pt idx="3">
                  <c:v>5.702299999999999E-2</c:v>
                </c:pt>
                <c:pt idx="4">
                  <c:v>1.1082096666666665</c:v>
                </c:pt>
                <c:pt idx="5">
                  <c:v>1.1041206666666665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D-534A-B823-A44919A37EF9}"/>
            </c:ext>
          </c:extLst>
        </c:ser>
        <c:ser>
          <c:idx val="1"/>
          <c:order val="1"/>
          <c:tx>
            <c:strRef>
              <c:f>'Figure S9'!$H$3</c:f>
              <c:strCache>
                <c:ptCount val="1"/>
                <c:pt idx="0">
                  <c:v>PPASE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'[8]01292015'!$G$65:$G$70</c:f>
                <c:numCache>
                  <c:formatCode>General</c:formatCode>
                  <c:ptCount val="6"/>
                  <c:pt idx="0">
                    <c:v>1.501319752750894E-2</c:v>
                  </c:pt>
                  <c:pt idx="1">
                    <c:v>0.10860004604050588</c:v>
                  </c:pt>
                  <c:pt idx="2">
                    <c:v>1.3129357689290596E-2</c:v>
                  </c:pt>
                  <c:pt idx="3">
                    <c:v>6.4720025751952071E-2</c:v>
                  </c:pt>
                  <c:pt idx="4">
                    <c:v>2.8295288182546136E-2</c:v>
                  </c:pt>
                  <c:pt idx="5">
                    <c:v>0.20663978319771822</c:v>
                  </c:pt>
                </c:numCache>
              </c:numRef>
            </c:plus>
            <c:minus>
              <c:numRef>
                <c:f>'[8]01292015'!$G$65:$G$70</c:f>
                <c:numCache>
                  <c:formatCode>General</c:formatCode>
                  <c:ptCount val="6"/>
                  <c:pt idx="0">
                    <c:v>1.501319752750894E-2</c:v>
                  </c:pt>
                  <c:pt idx="1">
                    <c:v>0.10860004604050588</c:v>
                  </c:pt>
                  <c:pt idx="2">
                    <c:v>1.3129357689290596E-2</c:v>
                  </c:pt>
                  <c:pt idx="3">
                    <c:v>6.4720025751952071E-2</c:v>
                  </c:pt>
                  <c:pt idx="4">
                    <c:v>2.8295288182546136E-2</c:v>
                  </c:pt>
                  <c:pt idx="5">
                    <c:v>0.20663978319771822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'Figure S9'!$C$23:$C$28</c:f>
              <c:strCache>
                <c:ptCount val="6"/>
                <c:pt idx="0">
                  <c:v>cATP+ATP</c:v>
                </c:pt>
                <c:pt idx="1">
                  <c:v>cATP+NMN+ATP</c:v>
                </c:pt>
                <c:pt idx="2">
                  <c:v>cATP+HSP90+ATP</c:v>
                </c:pt>
                <c:pt idx="3">
                  <c:v>cATP+HSP90+NMN+ATP</c:v>
                </c:pt>
                <c:pt idx="4">
                  <c:v>cATP+HSP90+CS+ATP</c:v>
                </c:pt>
                <c:pt idx="5">
                  <c:v>cATP+HSP90+CS+NMN+ATP</c:v>
                </c:pt>
              </c:strCache>
            </c:strRef>
          </c:cat>
          <c:val>
            <c:numRef>
              <c:f>'Figure S9'!$F$23:$F$28</c:f>
              <c:numCache>
                <c:formatCode>General</c:formatCode>
                <c:ptCount val="6"/>
                <c:pt idx="0">
                  <c:v>5.6146999999999982E-2</c:v>
                </c:pt>
                <c:pt idx="1">
                  <c:v>1.0483769999999999</c:v>
                </c:pt>
                <c:pt idx="2">
                  <c:v>6.1780333333333326E-2</c:v>
                </c:pt>
                <c:pt idx="3">
                  <c:v>1.1345903333333331</c:v>
                </c:pt>
                <c:pt idx="4">
                  <c:v>1.1833103333333332</c:v>
                </c:pt>
                <c:pt idx="5">
                  <c:v>1.946777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D-534A-B823-A44919A37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665464"/>
        <c:axId val="2093712200"/>
      </c:barChart>
      <c:catAx>
        <c:axId val="2094665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3712200"/>
        <c:crosses val="autoZero"/>
        <c:auto val="1"/>
        <c:lblAlgn val="ctr"/>
        <c:lblOffset val="100"/>
        <c:noMultiLvlLbl val="0"/>
      </c:catAx>
      <c:valAx>
        <c:axId val="2093712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0946654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2784537886146504E-2"/>
          <c:y val="4.6620046620046603E-2"/>
          <c:w val="0.16443084767479299"/>
          <c:h val="8.106577586892549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11B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DIV5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S11'!$M$16:$M$18</c:f>
                <c:numCache>
                  <c:formatCode>General</c:formatCode>
                  <c:ptCount val="3"/>
                  <c:pt idx="0">
                    <c:v>1.5022678952396273</c:v>
                  </c:pt>
                  <c:pt idx="1">
                    <c:v>1.2088834946847298</c:v>
                  </c:pt>
                  <c:pt idx="2">
                    <c:v>4.7214772647654417</c:v>
                  </c:pt>
                </c:numCache>
              </c:numRef>
            </c:plus>
            <c:minus>
              <c:numRef>
                <c:f>'Figure S11'!$M$16:$M$18</c:f>
                <c:numCache>
                  <c:formatCode>General</c:formatCode>
                  <c:ptCount val="3"/>
                  <c:pt idx="0">
                    <c:v>1.5022678952396273</c:v>
                  </c:pt>
                  <c:pt idx="1">
                    <c:v>1.2088834946847298</c:v>
                  </c:pt>
                  <c:pt idx="2">
                    <c:v>4.7214772647654417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'Figure S11'!$L$16:$L$18</c:f>
              <c:numCache>
                <c:formatCode>General</c:formatCode>
                <c:ptCount val="3"/>
                <c:pt idx="0">
                  <c:v>100.00000020805032</c:v>
                </c:pt>
                <c:pt idx="1">
                  <c:v>99.451620530216587</c:v>
                </c:pt>
                <c:pt idx="2">
                  <c:v>96.565236389736626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8-7942-8AF3-8CBEACC40E9A}"/>
            </c:ext>
          </c:extLst>
        </c:ser>
        <c:ser>
          <c:idx val="1"/>
          <c:order val="1"/>
          <c:tx>
            <c:v>DIV10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S11'!$O$16:$O$18</c:f>
                <c:numCache>
                  <c:formatCode>General</c:formatCode>
                  <c:ptCount val="3"/>
                  <c:pt idx="0">
                    <c:v>1.9645411557917589</c:v>
                  </c:pt>
                  <c:pt idx="1">
                    <c:v>1.647805193618195</c:v>
                  </c:pt>
                  <c:pt idx="2">
                    <c:v>6.5099349664904969</c:v>
                  </c:pt>
                </c:numCache>
              </c:numRef>
            </c:plus>
            <c:minus>
              <c:numRef>
                <c:f>'Figure S11'!$O$16:$O$18</c:f>
                <c:numCache>
                  <c:formatCode>General</c:formatCode>
                  <c:ptCount val="3"/>
                  <c:pt idx="0">
                    <c:v>1.9645411557917589</c:v>
                  </c:pt>
                  <c:pt idx="1">
                    <c:v>1.647805193618195</c:v>
                  </c:pt>
                  <c:pt idx="2">
                    <c:v>6.5099349664904969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'Figure S11'!$N$16:$N$18</c:f>
              <c:numCache>
                <c:formatCode>General</c:formatCode>
                <c:ptCount val="3"/>
                <c:pt idx="0">
                  <c:v>99.783930257818952</c:v>
                </c:pt>
                <c:pt idx="1">
                  <c:v>99.770014288501457</c:v>
                </c:pt>
                <c:pt idx="2">
                  <c:v>75.964101640440219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8-7942-8AF3-8CBEACC40E9A}"/>
            </c:ext>
          </c:extLst>
        </c:ser>
        <c:ser>
          <c:idx val="2"/>
          <c:order val="2"/>
          <c:tx>
            <c:v>DIV15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S11'!$Q$16:$Q$18</c:f>
                <c:numCache>
                  <c:formatCode>General</c:formatCode>
                  <c:ptCount val="3"/>
                  <c:pt idx="0">
                    <c:v>3.4642616787255198</c:v>
                  </c:pt>
                  <c:pt idx="1">
                    <c:v>4.3344338286596997</c:v>
                  </c:pt>
                  <c:pt idx="2">
                    <c:v>1.9768519263739872</c:v>
                  </c:pt>
                </c:numCache>
              </c:numRef>
            </c:plus>
            <c:minus>
              <c:numRef>
                <c:f>'Figure S11'!$Q$16:$Q$18</c:f>
                <c:numCache>
                  <c:formatCode>General</c:formatCode>
                  <c:ptCount val="3"/>
                  <c:pt idx="0">
                    <c:v>3.4642616787255198</c:v>
                  </c:pt>
                  <c:pt idx="1">
                    <c:v>4.3344338286596997</c:v>
                  </c:pt>
                  <c:pt idx="2">
                    <c:v>1.9768519263739872</c:v>
                  </c:pt>
                </c:numCache>
              </c:numRef>
            </c:minus>
          </c:errBars>
          <c:val>
            <c:numRef>
              <c:f>'Figure S11'!$P$16:$P$18</c:f>
              <c:numCache>
                <c:formatCode>General</c:formatCode>
                <c:ptCount val="3"/>
                <c:pt idx="0">
                  <c:v>96.907458452661629</c:v>
                </c:pt>
                <c:pt idx="1">
                  <c:v>89.65768306437792</c:v>
                </c:pt>
                <c:pt idx="2">
                  <c:v>39.494031150521472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8-7942-8AF3-8CBEACC40E9A}"/>
            </c:ext>
          </c:extLst>
        </c:ser>
        <c:ser>
          <c:idx val="3"/>
          <c:order val="3"/>
          <c:tx>
            <c:v>DIV20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S11'!$S$16:$S$18</c:f>
                <c:numCache>
                  <c:formatCode>General</c:formatCode>
                  <c:ptCount val="3"/>
                  <c:pt idx="0">
                    <c:v>2.3868292676184959</c:v>
                  </c:pt>
                  <c:pt idx="1">
                    <c:v>6.4965533904424957</c:v>
                  </c:pt>
                  <c:pt idx="2">
                    <c:v>2.4990669883309637</c:v>
                  </c:pt>
                </c:numCache>
              </c:numRef>
            </c:plus>
            <c:minus>
              <c:numRef>
                <c:f>'Figure S11'!$S$16:$S$18</c:f>
                <c:numCache>
                  <c:formatCode>General</c:formatCode>
                  <c:ptCount val="3"/>
                  <c:pt idx="0">
                    <c:v>2.3868292676184959</c:v>
                  </c:pt>
                  <c:pt idx="1">
                    <c:v>6.4965533904424957</c:v>
                  </c:pt>
                  <c:pt idx="2">
                    <c:v>2.4990669883309637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'Figure S11'!$R$16:$R$18</c:f>
              <c:numCache>
                <c:formatCode>General</c:formatCode>
                <c:ptCount val="3"/>
                <c:pt idx="0">
                  <c:v>80.791036364675705</c:v>
                </c:pt>
                <c:pt idx="1">
                  <c:v>64.240628412519484</c:v>
                </c:pt>
                <c:pt idx="2">
                  <c:v>16.512532190274872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98-7942-8AF3-8CBEACC4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794792"/>
        <c:axId val="2087719848"/>
      </c:barChart>
      <c:catAx>
        <c:axId val="2087794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87719848"/>
        <c:crosses val="autoZero"/>
        <c:auto val="1"/>
        <c:lblAlgn val="ctr"/>
        <c:lblOffset val="100"/>
        <c:noMultiLvlLbl val="0"/>
      </c:catAx>
      <c:valAx>
        <c:axId val="2087719848"/>
        <c:scaling>
          <c:orientation val="minMax"/>
          <c:max val="12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87794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</a:t>
            </a:r>
            <a:r>
              <a:rPr lang="en-US" baseline="0"/>
              <a:t> 11A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DIV5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S11'!$O$3:$O$5</c:f>
                <c:numCache>
                  <c:formatCode>General</c:formatCode>
                  <c:ptCount val="3"/>
                  <c:pt idx="0">
                    <c:v>2.1924115993149416</c:v>
                  </c:pt>
                  <c:pt idx="1">
                    <c:v>0.76375953614513581</c:v>
                  </c:pt>
                  <c:pt idx="2">
                    <c:v>0.99737925156489893</c:v>
                  </c:pt>
                </c:numCache>
              </c:numRef>
            </c:plus>
            <c:minus>
              <c:numRef>
                <c:f>'Figure S11'!$O$3:$O$5</c:f>
                <c:numCache>
                  <c:formatCode>General</c:formatCode>
                  <c:ptCount val="3"/>
                  <c:pt idx="0">
                    <c:v>2.1924115993149416</c:v>
                  </c:pt>
                  <c:pt idx="1">
                    <c:v>0.76375953614513581</c:v>
                  </c:pt>
                  <c:pt idx="2">
                    <c:v>0.99737925156489893</c:v>
                  </c:pt>
                </c:numCache>
              </c:numRef>
            </c:minus>
          </c:errBars>
          <c:val>
            <c:numRef>
              <c:f>'Figure S11'!$N$3:$N$5</c:f>
              <c:numCache>
                <c:formatCode>General</c:formatCode>
                <c:ptCount val="3"/>
                <c:pt idx="0">
                  <c:v>100</c:v>
                </c:pt>
                <c:pt idx="1">
                  <c:v>101.43541532206272</c:v>
                </c:pt>
                <c:pt idx="2">
                  <c:v>101.74282305647175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'Figure 6'!#REF!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7C2-934C-9851-932D8BFD12CE}"/>
            </c:ext>
          </c:extLst>
        </c:ser>
        <c:ser>
          <c:idx val="1"/>
          <c:order val="1"/>
          <c:tx>
            <c:v>DIV10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S11'!$Q$3:$Q$5</c:f>
                <c:numCache>
                  <c:formatCode>General</c:formatCode>
                  <c:ptCount val="3"/>
                  <c:pt idx="0">
                    <c:v>3.4837305119947986</c:v>
                  </c:pt>
                  <c:pt idx="1">
                    <c:v>0.27374496361991596</c:v>
                  </c:pt>
                  <c:pt idx="2">
                    <c:v>2.6798185655114368</c:v>
                  </c:pt>
                </c:numCache>
              </c:numRef>
            </c:plus>
            <c:minus>
              <c:numRef>
                <c:f>'Figure S11'!$Q$3:$Q$5</c:f>
                <c:numCache>
                  <c:formatCode>General</c:formatCode>
                  <c:ptCount val="3"/>
                  <c:pt idx="0">
                    <c:v>3.4837305119947986</c:v>
                  </c:pt>
                  <c:pt idx="1">
                    <c:v>0.27374496361991596</c:v>
                  </c:pt>
                  <c:pt idx="2">
                    <c:v>2.6798185655114368</c:v>
                  </c:pt>
                </c:numCache>
              </c:numRef>
            </c:minus>
          </c:errBars>
          <c:val>
            <c:numRef>
              <c:f>'Figure S11'!$P$3:$P$5</c:f>
              <c:numCache>
                <c:formatCode>General</c:formatCode>
                <c:ptCount val="3"/>
                <c:pt idx="0">
                  <c:v>100.61512192218724</c:v>
                </c:pt>
                <c:pt idx="1">
                  <c:v>100.39784930133067</c:v>
                </c:pt>
                <c:pt idx="2">
                  <c:v>98.456349355879112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C2-934C-9851-932D8BFD12CE}"/>
            </c:ext>
          </c:extLst>
        </c:ser>
        <c:ser>
          <c:idx val="2"/>
          <c:order val="2"/>
          <c:tx>
            <c:v>DIV15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S11'!$S$3:$S$5</c:f>
                <c:numCache>
                  <c:formatCode>General</c:formatCode>
                  <c:ptCount val="3"/>
                  <c:pt idx="0">
                    <c:v>2.3327034716489186</c:v>
                  </c:pt>
                  <c:pt idx="1">
                    <c:v>1.3276758273448128</c:v>
                  </c:pt>
                  <c:pt idx="2">
                    <c:v>4.1166222535522925</c:v>
                  </c:pt>
                </c:numCache>
              </c:numRef>
            </c:plus>
            <c:minus>
              <c:numRef>
                <c:f>'Figure S11'!$S$3:$S$5</c:f>
                <c:numCache>
                  <c:formatCode>General</c:formatCode>
                  <c:ptCount val="3"/>
                  <c:pt idx="0">
                    <c:v>2.3327034716489186</c:v>
                  </c:pt>
                  <c:pt idx="1">
                    <c:v>1.3276758273448128</c:v>
                  </c:pt>
                  <c:pt idx="2">
                    <c:v>4.1166222535522925</c:v>
                  </c:pt>
                </c:numCache>
              </c:numRef>
            </c:minus>
          </c:errBars>
          <c:val>
            <c:numRef>
              <c:f>'Figure S11'!$R$3:$R$5</c:f>
              <c:numCache>
                <c:formatCode>General</c:formatCode>
                <c:ptCount val="3"/>
                <c:pt idx="0">
                  <c:v>100.00924356637194</c:v>
                </c:pt>
                <c:pt idx="1">
                  <c:v>100.0506085173801</c:v>
                </c:pt>
                <c:pt idx="2">
                  <c:v>84.817992214624368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C2-934C-9851-932D8BFD12CE}"/>
            </c:ext>
          </c:extLst>
        </c:ser>
        <c:ser>
          <c:idx val="3"/>
          <c:order val="3"/>
          <c:tx>
            <c:v>DIV20</c:v>
          </c:tx>
          <c:spPr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'Figure S11'!$U$3:$U$5</c:f>
                <c:numCache>
                  <c:formatCode>General</c:formatCode>
                  <c:ptCount val="3"/>
                  <c:pt idx="0">
                    <c:v>1.3722792563178301</c:v>
                  </c:pt>
                  <c:pt idx="1">
                    <c:v>0.76387915765517644</c:v>
                  </c:pt>
                  <c:pt idx="2">
                    <c:v>2.3141493036244305</c:v>
                  </c:pt>
                </c:numCache>
              </c:numRef>
            </c:plus>
            <c:minus>
              <c:numRef>
                <c:f>'Figure S11'!$U$3:$U$5</c:f>
                <c:numCache>
                  <c:formatCode>General</c:formatCode>
                  <c:ptCount val="3"/>
                  <c:pt idx="0">
                    <c:v>1.3722792563178301</c:v>
                  </c:pt>
                  <c:pt idx="1">
                    <c:v>0.76387915765517644</c:v>
                  </c:pt>
                  <c:pt idx="2">
                    <c:v>2.3141493036244305</c:v>
                  </c:pt>
                </c:numCache>
              </c:numRef>
            </c:minus>
          </c:errBars>
          <c:val>
            <c:numRef>
              <c:f>'Figure S11'!$T$3:$T$5</c:f>
              <c:numCache>
                <c:formatCode>General</c:formatCode>
                <c:ptCount val="3"/>
                <c:pt idx="0">
                  <c:v>95.729241874979991</c:v>
                </c:pt>
                <c:pt idx="1">
                  <c:v>90.561812347649777</c:v>
                </c:pt>
                <c:pt idx="2">
                  <c:v>72.35854160664708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C2-934C-9851-932D8BFD1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492776"/>
        <c:axId val="2139495912"/>
      </c:barChart>
      <c:catAx>
        <c:axId val="2139492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9495912"/>
        <c:crosses val="autoZero"/>
        <c:auto val="1"/>
        <c:lblAlgn val="ctr"/>
        <c:lblOffset val="100"/>
        <c:noMultiLvlLbl val="0"/>
      </c:catAx>
      <c:valAx>
        <c:axId val="2139495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39492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emf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image" Target="../media/image2.emf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584200</xdr:colOff>
      <xdr:row>31</xdr:row>
      <xdr:rowOff>107950</xdr:rowOff>
    </xdr:from>
    <xdr:to>
      <xdr:col>11</xdr:col>
      <xdr:colOff>711200</xdr:colOff>
      <xdr:row>44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49</xdr:row>
      <xdr:rowOff>0</xdr:rowOff>
    </xdr:from>
    <xdr:to>
      <xdr:col>11</xdr:col>
      <xdr:colOff>774700</xdr:colOff>
      <xdr:row>62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1123950</xdr:colOff>
      <xdr:row>38</xdr:row>
      <xdr:rowOff>50800</xdr:rowOff>
    </xdr:from>
    <xdr:to>
      <xdr:col>8</xdr:col>
      <xdr:colOff>330200</xdr:colOff>
      <xdr:row>57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37</xdr:row>
      <xdr:rowOff>38100</xdr:rowOff>
    </xdr:from>
    <xdr:to>
      <xdr:col>10</xdr:col>
      <xdr:colOff>762000</xdr:colOff>
      <xdr:row>51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10</xdr:row>
      <xdr:rowOff>152400</xdr:rowOff>
    </xdr:from>
    <xdr:to>
      <xdr:col>7</xdr:col>
      <xdr:colOff>685800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152400</xdr:colOff>
      <xdr:row>77</xdr:row>
      <xdr:rowOff>12700</xdr:rowOff>
    </xdr:from>
    <xdr:to>
      <xdr:col>7</xdr:col>
      <xdr:colOff>596900</xdr:colOff>
      <xdr:row>91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57</xdr:row>
      <xdr:rowOff>101600</xdr:rowOff>
    </xdr:from>
    <xdr:to>
      <xdr:col>11</xdr:col>
      <xdr:colOff>38100</xdr:colOff>
      <xdr:row>79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241300</xdr:colOff>
      <xdr:row>115</xdr:row>
      <xdr:rowOff>177800</xdr:rowOff>
    </xdr:from>
    <xdr:to>
      <xdr:col>11</xdr:col>
      <xdr:colOff>292101</xdr:colOff>
      <xdr:row>130</xdr:row>
      <xdr:rowOff>11113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177800</xdr:colOff>
      <xdr:row>89</xdr:row>
      <xdr:rowOff>177800</xdr:rowOff>
    </xdr:from>
    <xdr:to>
      <xdr:col>8</xdr:col>
      <xdr:colOff>609600</xdr:colOff>
      <xdr:row>100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406400</xdr:colOff>
      <xdr:row>12</xdr:row>
      <xdr:rowOff>127000</xdr:rowOff>
    </xdr:from>
    <xdr:to>
      <xdr:col>8</xdr:col>
      <xdr:colOff>520700</xdr:colOff>
      <xdr:row>24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127</xdr:row>
      <xdr:rowOff>0</xdr:rowOff>
    </xdr:from>
    <xdr:to>
      <xdr:col>10</xdr:col>
      <xdr:colOff>279400</xdr:colOff>
      <xdr:row>140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15</xdr:col>
      <xdr:colOff>723900</xdr:colOff>
      <xdr:row>30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2600" y="609600"/>
          <a:ext cx="5676900" cy="5353050"/>
        </a:xfrm>
        <a:prstGeom prst="rect">
          <a:avLst/>
        </a:prstGeom>
      </xdr:spPr>
    </xdr:pic>
    <xdr:clientData/>
  </xdr:twoCellAnchor>
  <xdr:twoCellAnchor>
    <xdr:from>
      <xdr:col>8</xdr:col>
      <xdr:colOff>762000</xdr:colOff>
      <xdr:row>76</xdr:row>
      <xdr:rowOff>127000</xdr:rowOff>
    </xdr:from>
    <xdr:to>
      <xdr:col>14</xdr:col>
      <xdr:colOff>381000</xdr:colOff>
      <xdr:row>91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615950</xdr:colOff>
      <xdr:row>35</xdr:row>
      <xdr:rowOff>6350</xdr:rowOff>
    </xdr:from>
    <xdr:to>
      <xdr:col>13</xdr:col>
      <xdr:colOff>234950</xdr:colOff>
      <xdr:row>50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800100</xdr:colOff>
      <xdr:row>1</xdr:row>
      <xdr:rowOff>0</xdr:rowOff>
    </xdr:from>
    <xdr:to>
      <xdr:col>27</xdr:col>
      <xdr:colOff>419100</xdr:colOff>
      <xdr:row>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609600</xdr:colOff>
      <xdr:row>35</xdr:row>
      <xdr:rowOff>0</xdr:rowOff>
    </xdr:from>
    <xdr:to>
      <xdr:col>7</xdr:col>
      <xdr:colOff>228600</xdr:colOff>
      <xdr:row>50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539750</xdr:colOff>
      <xdr:row>61</xdr:row>
      <xdr:rowOff>127000</xdr:rowOff>
    </xdr:from>
    <xdr:to>
      <xdr:col>14</xdr:col>
      <xdr:colOff>203200</xdr:colOff>
      <xdr:row>75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61</xdr:row>
      <xdr:rowOff>139700</xdr:rowOff>
    </xdr:from>
    <xdr:to>
      <xdr:col>18</xdr:col>
      <xdr:colOff>158750</xdr:colOff>
      <xdr:row>75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368300</xdr:colOff>
      <xdr:row>62</xdr:row>
      <xdr:rowOff>0</xdr:rowOff>
    </xdr:from>
    <xdr:to>
      <xdr:col>22</xdr:col>
      <xdr:colOff>31750</xdr:colOff>
      <xdr:row>75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533400</xdr:colOff>
      <xdr:row>77</xdr:row>
      <xdr:rowOff>0</xdr:rowOff>
    </xdr:from>
    <xdr:to>
      <xdr:col>14</xdr:col>
      <xdr:colOff>196850</xdr:colOff>
      <xdr:row>90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685800</xdr:colOff>
      <xdr:row>77</xdr:row>
      <xdr:rowOff>25400</xdr:rowOff>
    </xdr:from>
    <xdr:to>
      <xdr:col>18</xdr:col>
      <xdr:colOff>349250</xdr:colOff>
      <xdr:row>90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495300</xdr:colOff>
      <xdr:row>77</xdr:row>
      <xdr:rowOff>12700</xdr:rowOff>
    </xdr:from>
    <xdr:to>
      <xdr:col>22</xdr:col>
      <xdr:colOff>158750</xdr:colOff>
      <xdr:row>90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0</xdr:colOff>
      <xdr:row>13</xdr:row>
      <xdr:rowOff>189922</xdr:rowOff>
    </xdr:from>
    <xdr:to>
      <xdr:col>5</xdr:col>
      <xdr:colOff>1803400</xdr:colOff>
      <xdr:row>27</xdr:row>
      <xdr:rowOff>149224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87700" y="2666422"/>
          <a:ext cx="4279900" cy="26263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596340</xdr:colOff>
      <xdr:row>19</xdr:row>
      <xdr:rowOff>162952</xdr:rowOff>
    </xdr:from>
    <xdr:to>
      <xdr:col>14</xdr:col>
      <xdr:colOff>89461</xdr:colOff>
      <xdr:row>34</xdr:row>
      <xdr:rowOff>27548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584200</xdr:colOff>
      <xdr:row>74</xdr:row>
      <xdr:rowOff>114300</xdr:rowOff>
    </xdr:from>
    <xdr:to>
      <xdr:col>12</xdr:col>
      <xdr:colOff>203200</xdr:colOff>
      <xdr:row>89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165100</xdr:colOff>
      <xdr:row>2</xdr:row>
      <xdr:rowOff>177800</xdr:rowOff>
    </xdr:from>
    <xdr:to>
      <xdr:col>13</xdr:col>
      <xdr:colOff>254000</xdr:colOff>
      <xdr:row>16</xdr:row>
      <xdr:rowOff>177800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44</xdr:row>
      <xdr:rowOff>152400</xdr:rowOff>
    </xdr:from>
    <xdr:to>
      <xdr:col>6</xdr:col>
      <xdr:colOff>502023</xdr:colOff>
      <xdr:row>58</xdr:row>
      <xdr:rowOff>12700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723900</xdr:colOff>
      <xdr:row>44</xdr:row>
      <xdr:rowOff>165100</xdr:rowOff>
    </xdr:from>
    <xdr:to>
      <xdr:col>12</xdr:col>
      <xdr:colOff>820271</xdr:colOff>
      <xdr:row>57</xdr:row>
      <xdr:rowOff>129989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45</xdr:row>
      <xdr:rowOff>0</xdr:rowOff>
    </xdr:from>
    <xdr:to>
      <xdr:col>20</xdr:col>
      <xdr:colOff>83670</xdr:colOff>
      <xdr:row>58</xdr:row>
      <xdr:rowOff>2989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27</xdr:col>
      <xdr:colOff>166594</xdr:colOff>
      <xdr:row>57</xdr:row>
      <xdr:rowOff>155389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596900</xdr:colOff>
      <xdr:row>45</xdr:row>
      <xdr:rowOff>12701</xdr:rowOff>
    </xdr:from>
    <xdr:to>
      <xdr:col>33</xdr:col>
      <xdr:colOff>177800</xdr:colOff>
      <xdr:row>58</xdr:row>
      <xdr:rowOff>63501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10</xdr:row>
      <xdr:rowOff>101600</xdr:rowOff>
    </xdr:from>
    <xdr:to>
      <xdr:col>10</xdr:col>
      <xdr:colOff>504825</xdr:colOff>
      <xdr:row>30</xdr:row>
      <xdr:rowOff>11113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711200</xdr:colOff>
      <xdr:row>48</xdr:row>
      <xdr:rowOff>177800</xdr:rowOff>
    </xdr:from>
    <xdr:to>
      <xdr:col>10</xdr:col>
      <xdr:colOff>330200</xdr:colOff>
      <xdr:row>63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0.13476</cdr:y>
    </cdr:from>
    <cdr:to>
      <cdr:x>0.04775</cdr:x>
      <cdr:y>0.55901</cdr:y>
    </cdr:to>
    <cdr:sp macro="" textlink="">
      <cdr:nvSpPr>
        <cdr:cNvPr id="2" name="TextBox 3"/>
        <cdr:cNvSpPr txBox="1"/>
      </cdr:nvSpPr>
      <cdr:spPr>
        <a:xfrm xmlns:a="http://schemas.openxmlformats.org/drawingml/2006/main" rot="16200000">
          <a:off x="-696184" y="1233347"/>
          <a:ext cx="1691168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NAD/NADH Levels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31</xdr:row>
      <xdr:rowOff>127000</xdr:rowOff>
    </xdr:from>
    <xdr:to>
      <xdr:col>11</xdr:col>
      <xdr:colOff>330200</xdr:colOff>
      <xdr:row>59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328612</xdr:colOff>
      <xdr:row>18</xdr:row>
      <xdr:rowOff>9525</xdr:rowOff>
    </xdr:from>
    <xdr:to>
      <xdr:col>19</xdr:col>
      <xdr:colOff>23812</xdr:colOff>
      <xdr:row>33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34</xdr:row>
      <xdr:rowOff>28575</xdr:rowOff>
    </xdr:from>
    <xdr:to>
      <xdr:col>19</xdr:col>
      <xdr:colOff>28576</xdr:colOff>
      <xdr:row>55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0</xdr:rowOff>
    </xdr:from>
    <xdr:to>
      <xdr:col>9</xdr:col>
      <xdr:colOff>63501</xdr:colOff>
      <xdr:row>50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800100</xdr:colOff>
      <xdr:row>16</xdr:row>
      <xdr:rowOff>177800</xdr:rowOff>
    </xdr:from>
    <xdr:to>
      <xdr:col>27</xdr:col>
      <xdr:colOff>419100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273050</xdr:colOff>
      <xdr:row>0</xdr:row>
      <xdr:rowOff>139700</xdr:rowOff>
    </xdr:from>
    <xdr:to>
      <xdr:col>27</xdr:col>
      <xdr:colOff>717550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Seagate%20Expansion%20Drive/YAli_HCL/Tau%20inducible%20cell%20line/tau%20cell%20EXP%20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ALI/Library/Application%20Support/Microsoft/Office/Office%202011%20AutoRecovery/Desktop/JCI%20Revision/yaatp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IFESTUDIO/YAli_HCL/JCI%20Brief%20Report_11182014/CHAPERONE%20PAPER/manuscript%20Nature/newsca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ALI/Downloads/Chaperone%20Paper/Neuron/Invivo%20HETWT%20WB%20Q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IFESTUDIO/YAli_HCL/chaperones_NMNATs/NMNAT%20Luciferase/ya08222012_luc_CAL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IFESTUDIO/aggregation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IFESTUDIO/YAli_HCL/Enzyme%20Assays/Enzyme%20Assay_0208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IFESTUDIO/yaatp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4">
          <cell r="J14" t="str">
            <v>mcherry</v>
          </cell>
          <cell r="K14">
            <v>1</v>
          </cell>
          <cell r="M14">
            <v>1.0000000491255037</v>
          </cell>
          <cell r="O14">
            <v>0.13310694986112984</v>
          </cell>
          <cell r="P14">
            <v>9.0066641993581623E-2</v>
          </cell>
        </row>
        <row r="15">
          <cell r="J15" t="str">
            <v>hsp70</v>
          </cell>
          <cell r="K15">
            <v>0.42581721729141925</v>
          </cell>
          <cell r="M15">
            <v>0.94593957314721189</v>
          </cell>
          <cell r="O15">
            <v>0.13147381006211131</v>
          </cell>
          <cell r="P15">
            <v>0.19779790209408354</v>
          </cell>
        </row>
        <row r="16">
          <cell r="J16" t="str">
            <v>nmnat2</v>
          </cell>
          <cell r="K16">
            <v>0.47676568515161072</v>
          </cell>
          <cell r="M16">
            <v>1.0512963019667827</v>
          </cell>
          <cell r="O16">
            <v>9.727114788640627E-2</v>
          </cell>
          <cell r="P16">
            <v>0.11215025426084391</v>
          </cell>
        </row>
        <row r="17">
          <cell r="J17" t="str">
            <v>ed</v>
          </cell>
          <cell r="K17">
            <v>0.49034373474261977</v>
          </cell>
          <cell r="M17">
            <v>1.0873657814440991</v>
          </cell>
          <cell r="O17">
            <v>5.5743250727572594E-2</v>
          </cell>
          <cell r="P17">
            <v>6.9500509786014367E-2</v>
          </cell>
        </row>
        <row r="18">
          <cell r="J18" t="str">
            <v>pm</v>
          </cell>
          <cell r="K18">
            <v>0.3613388173491503</v>
          </cell>
          <cell r="M18">
            <v>0.975297261352981</v>
          </cell>
          <cell r="O18">
            <v>5.3605012064875286E-2</v>
          </cell>
          <cell r="P18">
            <v>5.4725569115258721E-2</v>
          </cell>
        </row>
        <row r="19">
          <cell r="J19" t="str">
            <v>catp</v>
          </cell>
          <cell r="K19">
            <v>1.0643091814700381</v>
          </cell>
          <cell r="M19">
            <v>1.1063693539275228</v>
          </cell>
          <cell r="O19">
            <v>0.18626673009474454</v>
          </cell>
          <cell r="P19">
            <v>0.16901833554290921</v>
          </cell>
        </row>
        <row r="20">
          <cell r="J20" t="str">
            <v>ctd</v>
          </cell>
          <cell r="K20">
            <v>1.0597775674731438</v>
          </cell>
          <cell r="M20">
            <v>1.1469560380466821</v>
          </cell>
          <cell r="O20">
            <v>0.16677670592109545</v>
          </cell>
          <cell r="P20">
            <v>0.20768976717550242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"/>
      <sheetName val="01272015"/>
      <sheetName val="01272015 (Chaperone Assay)"/>
      <sheetName val="01292015"/>
    </sheetNames>
    <sheetDataSet>
      <sheetData sheetId="0"/>
      <sheetData sheetId="1"/>
      <sheetData sheetId="2">
        <row r="7">
          <cell r="B7">
            <v>0</v>
          </cell>
          <cell r="C7">
            <v>80</v>
          </cell>
          <cell r="D7">
            <v>160</v>
          </cell>
          <cell r="E7">
            <v>310</v>
          </cell>
          <cell r="F7">
            <v>390</v>
          </cell>
          <cell r="G7">
            <v>470</v>
          </cell>
          <cell r="H7">
            <v>550</v>
          </cell>
          <cell r="I7">
            <v>630</v>
          </cell>
          <cell r="J7">
            <v>710</v>
          </cell>
          <cell r="K7">
            <v>790</v>
          </cell>
          <cell r="L7">
            <v>870</v>
          </cell>
          <cell r="M7">
            <v>950</v>
          </cell>
          <cell r="N7">
            <v>1030</v>
          </cell>
          <cell r="O7">
            <v>1110</v>
          </cell>
          <cell r="P7">
            <v>1190</v>
          </cell>
          <cell r="Q7">
            <v>1270</v>
          </cell>
          <cell r="R7">
            <v>1350</v>
          </cell>
          <cell r="S7">
            <v>1430</v>
          </cell>
          <cell r="T7">
            <v>1510</v>
          </cell>
          <cell r="U7">
            <v>1590</v>
          </cell>
          <cell r="V7">
            <v>1670</v>
          </cell>
          <cell r="W7">
            <v>1750</v>
          </cell>
          <cell r="X7">
            <v>1830</v>
          </cell>
          <cell r="Y7">
            <v>1910</v>
          </cell>
          <cell r="Z7">
            <v>1990</v>
          </cell>
          <cell r="AA7">
            <v>2070</v>
          </cell>
          <cell r="AB7">
            <v>2150</v>
          </cell>
          <cell r="AC7">
            <v>2230</v>
          </cell>
          <cell r="AD7">
            <v>2310</v>
          </cell>
          <cell r="AE7">
            <v>2390</v>
          </cell>
          <cell r="AF7">
            <v>2470</v>
          </cell>
          <cell r="AG7">
            <v>2550</v>
          </cell>
          <cell r="AH7">
            <v>2630</v>
          </cell>
          <cell r="AI7">
            <v>2710</v>
          </cell>
          <cell r="AJ7">
            <v>2790</v>
          </cell>
          <cell r="AK7">
            <v>2870</v>
          </cell>
          <cell r="AL7">
            <v>2950</v>
          </cell>
          <cell r="AM7">
            <v>3030</v>
          </cell>
          <cell r="AN7">
            <v>3110</v>
          </cell>
          <cell r="AO7">
            <v>3190</v>
          </cell>
          <cell r="AP7">
            <v>3270</v>
          </cell>
          <cell r="AQ7">
            <v>3350</v>
          </cell>
          <cell r="AR7">
            <v>3430</v>
          </cell>
          <cell r="AS7">
            <v>3510</v>
          </cell>
          <cell r="AT7">
            <v>3590</v>
          </cell>
          <cell r="AU7">
            <v>3670</v>
          </cell>
          <cell r="AV7">
            <v>3750</v>
          </cell>
          <cell r="AW7">
            <v>3830</v>
          </cell>
          <cell r="AX7">
            <v>3910</v>
          </cell>
          <cell r="AY7">
            <v>3990</v>
          </cell>
          <cell r="AZ7">
            <v>4070</v>
          </cell>
          <cell r="BA7">
            <v>4150</v>
          </cell>
          <cell r="BB7">
            <v>4230</v>
          </cell>
          <cell r="BC7">
            <v>4310</v>
          </cell>
          <cell r="BD7">
            <v>4390</v>
          </cell>
          <cell r="BE7">
            <v>4470</v>
          </cell>
          <cell r="BF7">
            <v>4550</v>
          </cell>
          <cell r="BG7">
            <v>4630</v>
          </cell>
          <cell r="BH7">
            <v>4710</v>
          </cell>
          <cell r="BI7">
            <v>4790</v>
          </cell>
          <cell r="BJ7">
            <v>4870</v>
          </cell>
          <cell r="BK7">
            <v>4950</v>
          </cell>
          <cell r="BL7">
            <v>5030</v>
          </cell>
          <cell r="BM7">
            <v>5110</v>
          </cell>
          <cell r="BN7">
            <v>5230</v>
          </cell>
          <cell r="BO7">
            <v>5350</v>
          </cell>
          <cell r="BP7">
            <v>5470</v>
          </cell>
          <cell r="BQ7">
            <v>5590</v>
          </cell>
          <cell r="BR7">
            <v>5710</v>
          </cell>
          <cell r="BS7">
            <v>5830</v>
          </cell>
          <cell r="BT7">
            <v>5950</v>
          </cell>
          <cell r="BU7">
            <v>6070</v>
          </cell>
          <cell r="BV7">
            <v>6190</v>
          </cell>
          <cell r="BW7">
            <v>6310</v>
          </cell>
          <cell r="BX7">
            <v>6430</v>
          </cell>
          <cell r="BY7">
            <v>6550</v>
          </cell>
          <cell r="BZ7">
            <v>6670</v>
          </cell>
          <cell r="CA7">
            <v>6790</v>
          </cell>
          <cell r="CB7">
            <v>6910</v>
          </cell>
          <cell r="CC7">
            <v>7030</v>
          </cell>
          <cell r="CD7">
            <v>7150</v>
          </cell>
          <cell r="CE7">
            <v>7270</v>
          </cell>
          <cell r="CF7">
            <v>7390</v>
          </cell>
          <cell r="CG7">
            <v>7510</v>
          </cell>
          <cell r="CH7">
            <v>7630</v>
          </cell>
          <cell r="CI7">
            <v>7750</v>
          </cell>
          <cell r="CJ7">
            <v>7870</v>
          </cell>
          <cell r="CK7">
            <v>7990</v>
          </cell>
        </row>
        <row r="8">
          <cell r="B8">
            <v>0.2545</v>
          </cell>
          <cell r="C8">
            <v>0.2545</v>
          </cell>
          <cell r="D8">
            <v>0.25440000000000002</v>
          </cell>
          <cell r="E8">
            <v>0.25459999999999999</v>
          </cell>
          <cell r="F8">
            <v>0.24879999999999999</v>
          </cell>
          <cell r="G8">
            <v>0.24110000000000001</v>
          </cell>
          <cell r="H8">
            <v>0.23880000000000001</v>
          </cell>
          <cell r="I8">
            <v>0.23649999999999999</v>
          </cell>
          <cell r="J8">
            <v>0.23480000000000001</v>
          </cell>
          <cell r="K8">
            <v>0.23119999999999999</v>
          </cell>
          <cell r="L8">
            <v>0.2311</v>
          </cell>
          <cell r="M8">
            <v>0.23080000000000001</v>
          </cell>
          <cell r="N8">
            <v>0.22140000000000001</v>
          </cell>
          <cell r="O8">
            <v>0.22070000000000001</v>
          </cell>
          <cell r="P8">
            <v>0.21890000000000001</v>
          </cell>
          <cell r="Q8">
            <v>0.2175</v>
          </cell>
          <cell r="R8">
            <v>0.2157</v>
          </cell>
          <cell r="S8">
            <v>0.2185</v>
          </cell>
          <cell r="T8">
            <v>0.21540000000000001</v>
          </cell>
          <cell r="U8">
            <v>0.2109</v>
          </cell>
          <cell r="V8">
            <v>0.2087</v>
          </cell>
          <cell r="W8">
            <v>0.2064</v>
          </cell>
          <cell r="X8">
            <v>0.20330000000000001</v>
          </cell>
          <cell r="Y8">
            <v>0.20069999999999999</v>
          </cell>
          <cell r="Z8">
            <v>0.19850000000000001</v>
          </cell>
          <cell r="AA8">
            <v>0.19550000000000001</v>
          </cell>
          <cell r="AB8">
            <v>0.19070000000000001</v>
          </cell>
          <cell r="AC8">
            <v>0.19209999999999999</v>
          </cell>
          <cell r="AD8">
            <v>0.18870000000000001</v>
          </cell>
          <cell r="AE8">
            <v>0.18440000000000001</v>
          </cell>
          <cell r="AF8">
            <v>0.1802</v>
          </cell>
          <cell r="AG8">
            <v>0.18</v>
          </cell>
          <cell r="AH8">
            <v>0.1749</v>
          </cell>
          <cell r="AI8">
            <v>0.1711</v>
          </cell>
          <cell r="AJ8">
            <v>0.16520000000000001</v>
          </cell>
          <cell r="AK8">
            <v>0.17</v>
          </cell>
          <cell r="AL8">
            <v>0.16611999999999999</v>
          </cell>
          <cell r="AM8">
            <v>0.16070000000000001</v>
          </cell>
          <cell r="AN8">
            <v>0.15939999999999999</v>
          </cell>
          <cell r="AO8">
            <v>0.14249999999999999</v>
          </cell>
          <cell r="AP8">
            <v>0.14581</v>
          </cell>
          <cell r="AQ8">
            <v>0.1452</v>
          </cell>
          <cell r="AR8">
            <v>0.14269999999999999</v>
          </cell>
          <cell r="AS8">
            <v>0.1411</v>
          </cell>
          <cell r="AT8">
            <v>0.13850000000000001</v>
          </cell>
          <cell r="AU8">
            <v>0.13239999999999999</v>
          </cell>
          <cell r="AV8">
            <v>0.13519999999999999</v>
          </cell>
          <cell r="AW8">
            <v>0.13109999999999999</v>
          </cell>
          <cell r="AX8">
            <v>0.12540000000000001</v>
          </cell>
          <cell r="AY8">
            <v>0.12855</v>
          </cell>
          <cell r="AZ8">
            <v>0.12470000000000001</v>
          </cell>
          <cell r="BA8">
            <v>0.1244</v>
          </cell>
          <cell r="BB8">
            <v>0.12139999999999999</v>
          </cell>
          <cell r="BC8">
            <v>0.1205</v>
          </cell>
          <cell r="BD8">
            <v>0.1241</v>
          </cell>
          <cell r="BE8">
            <v>0.1241</v>
          </cell>
          <cell r="BF8">
            <v>0.12</v>
          </cell>
          <cell r="BG8">
            <v>0.12</v>
          </cell>
          <cell r="BH8">
            <v>0.1125</v>
          </cell>
          <cell r="BI8">
            <v>0.1182</v>
          </cell>
          <cell r="BJ8">
            <v>0.1124</v>
          </cell>
          <cell r="BK8">
            <v>0.1105</v>
          </cell>
          <cell r="BL8">
            <v>0.1124</v>
          </cell>
          <cell r="BM8">
            <v>0.11210000000000001</v>
          </cell>
          <cell r="BN8">
            <v>0.11210000000000001</v>
          </cell>
          <cell r="BO8">
            <v>0.1105</v>
          </cell>
          <cell r="BP8">
            <v>0.1104</v>
          </cell>
          <cell r="BQ8">
            <v>0.11119999999999999</v>
          </cell>
          <cell r="BR8">
            <v>0.10879999999999999</v>
          </cell>
          <cell r="BS8">
            <v>0.10249999999999999</v>
          </cell>
          <cell r="BT8">
            <v>0.1027</v>
          </cell>
          <cell r="BU8">
            <v>0.10290000000000001</v>
          </cell>
          <cell r="BV8">
            <v>0.1022</v>
          </cell>
          <cell r="BW8">
            <v>0.1024</v>
          </cell>
          <cell r="BX8">
            <v>0.1002</v>
          </cell>
          <cell r="BY8">
            <v>0.1021</v>
          </cell>
          <cell r="BZ8">
            <v>0.1008</v>
          </cell>
          <cell r="CA8">
            <v>0.1022</v>
          </cell>
          <cell r="CB8">
            <v>0.1007</v>
          </cell>
          <cell r="CC8">
            <v>0.10199999999999999</v>
          </cell>
          <cell r="CD8">
            <v>0.10009999999999999</v>
          </cell>
          <cell r="CE8">
            <v>0.10249999999999999</v>
          </cell>
          <cell r="CF8">
            <v>0.1007</v>
          </cell>
          <cell r="CG8">
            <v>0.1</v>
          </cell>
          <cell r="CH8">
            <v>9.98E-2</v>
          </cell>
          <cell r="CI8">
            <v>0.10050000000000001</v>
          </cell>
          <cell r="CJ8">
            <v>0.10050000000000001</v>
          </cell>
          <cell r="CK8">
            <v>9.9599999999999994E-2</v>
          </cell>
        </row>
        <row r="9">
          <cell r="B9">
            <v>0.25590000000000002</v>
          </cell>
          <cell r="C9">
            <v>0.25440000000000002</v>
          </cell>
          <cell r="D9">
            <v>0.25430000000000003</v>
          </cell>
          <cell r="E9">
            <v>0.25359999999999999</v>
          </cell>
          <cell r="F9">
            <v>0.25440000000000002</v>
          </cell>
          <cell r="G9">
            <v>0.25729999999999997</v>
          </cell>
          <cell r="H9">
            <v>0.25419999999999998</v>
          </cell>
          <cell r="I9">
            <v>0.25335999999999997</v>
          </cell>
          <cell r="J9">
            <v>0.25369000000000003</v>
          </cell>
          <cell r="K9">
            <v>0.25425999999999999</v>
          </cell>
          <cell r="L9">
            <v>0.25364999999999999</v>
          </cell>
          <cell r="M9">
            <v>0.25663000000000002</v>
          </cell>
          <cell r="N9">
            <v>0.25140000000000001</v>
          </cell>
          <cell r="O9">
            <v>0.25190000000000001</v>
          </cell>
          <cell r="P9">
            <v>0.25359999999999999</v>
          </cell>
          <cell r="Q9">
            <v>0.25419999999999998</v>
          </cell>
          <cell r="R9">
            <v>0.25419999999999998</v>
          </cell>
          <cell r="S9">
            <v>0.25409999999999999</v>
          </cell>
          <cell r="T9">
            <v>0.25409999999999999</v>
          </cell>
          <cell r="U9">
            <v>0.25109999999999999</v>
          </cell>
          <cell r="V9">
            <v>0.25230000000000002</v>
          </cell>
          <cell r="W9">
            <v>0.25319999999999998</v>
          </cell>
          <cell r="X9">
            <v>0.25140000000000001</v>
          </cell>
          <cell r="Y9">
            <v>0.25120999999999999</v>
          </cell>
          <cell r="Z9">
            <v>0.25359999999999999</v>
          </cell>
          <cell r="AA9">
            <v>0.25140000000000001</v>
          </cell>
          <cell r="AB9">
            <v>0.25319999999999998</v>
          </cell>
          <cell r="AC9">
            <v>0.25409999999999999</v>
          </cell>
          <cell r="AD9">
            <v>0.25411</v>
          </cell>
          <cell r="AE9">
            <v>0.25409999999999999</v>
          </cell>
          <cell r="AF9">
            <v>0.25140000000000001</v>
          </cell>
          <cell r="AG9">
            <v>0.25879999999999997</v>
          </cell>
          <cell r="AH9">
            <v>0.2535</v>
          </cell>
          <cell r="AI9">
            <v>0.25109999999999999</v>
          </cell>
          <cell r="AJ9">
            <v>0.25019999999999998</v>
          </cell>
          <cell r="AK9">
            <v>0.25</v>
          </cell>
          <cell r="AL9">
            <v>0.25411</v>
          </cell>
          <cell r="AM9">
            <v>0.24510000000000001</v>
          </cell>
          <cell r="AN9">
            <v>0.2442</v>
          </cell>
          <cell r="AO9">
            <v>0.24149999999999999</v>
          </cell>
          <cell r="AP9">
            <v>0.24590000000000001</v>
          </cell>
          <cell r="AQ9">
            <v>0.24587999999999999</v>
          </cell>
          <cell r="AR9">
            <v>0.24260000000000001</v>
          </cell>
          <cell r="AS9">
            <v>0.25559999999999999</v>
          </cell>
          <cell r="AT9">
            <v>0.24410000000000001</v>
          </cell>
          <cell r="AU9">
            <v>0.24149999999999999</v>
          </cell>
          <cell r="AV9">
            <v>0.24149999999999999</v>
          </cell>
          <cell r="AW9">
            <v>0.24110000000000001</v>
          </cell>
          <cell r="AX9">
            <v>0.24079999999999999</v>
          </cell>
          <cell r="AY9">
            <v>0.24052000000000001</v>
          </cell>
          <cell r="AZ9">
            <v>0.24110000000000001</v>
          </cell>
          <cell r="BA9">
            <v>0.24560000000000001</v>
          </cell>
          <cell r="BB9">
            <v>0.24149999999999999</v>
          </cell>
          <cell r="BC9">
            <v>0.24510000000000001</v>
          </cell>
          <cell r="BD9">
            <v>0.24110000000000001</v>
          </cell>
          <cell r="BE9">
            <v>0.2407</v>
          </cell>
          <cell r="BF9">
            <v>0.24</v>
          </cell>
          <cell r="BG9">
            <v>0.2452</v>
          </cell>
          <cell r="BH9">
            <v>0.2399</v>
          </cell>
          <cell r="BI9">
            <v>0.23549999999999999</v>
          </cell>
          <cell r="BJ9">
            <v>0.2389</v>
          </cell>
          <cell r="BK9">
            <v>0.24010000000000001</v>
          </cell>
          <cell r="BL9">
            <v>0.23039999999999999</v>
          </cell>
          <cell r="BM9">
            <v>0.2356</v>
          </cell>
          <cell r="BN9">
            <v>0.2344</v>
          </cell>
          <cell r="BO9">
            <v>0.23769999999999999</v>
          </cell>
          <cell r="BP9">
            <v>0.24010000000000001</v>
          </cell>
          <cell r="BQ9">
            <v>0.23960000000000001</v>
          </cell>
          <cell r="BR9">
            <v>0.23569999999999999</v>
          </cell>
          <cell r="BS9">
            <v>0.23555999999999999</v>
          </cell>
          <cell r="BT9">
            <v>0.2354</v>
          </cell>
          <cell r="BU9">
            <v>0.23649999999999999</v>
          </cell>
          <cell r="BV9">
            <v>0.2354</v>
          </cell>
          <cell r="BW9">
            <v>0.23769999999999999</v>
          </cell>
          <cell r="BX9">
            <v>0.2369</v>
          </cell>
          <cell r="BY9">
            <v>0.2344</v>
          </cell>
          <cell r="BZ9">
            <v>0.23544699999999999</v>
          </cell>
          <cell r="CA9">
            <v>0.23585</v>
          </cell>
          <cell r="CB9">
            <v>0.23544000000000001</v>
          </cell>
          <cell r="CC9">
            <v>0.24010000000000001</v>
          </cell>
          <cell r="CD9">
            <v>0.23694999999999999</v>
          </cell>
          <cell r="CE9">
            <v>0.24440000000000001</v>
          </cell>
          <cell r="CF9">
            <v>0.23089999999999999</v>
          </cell>
          <cell r="CG9">
            <v>0.23699600000000001</v>
          </cell>
          <cell r="CH9">
            <v>0.232152</v>
          </cell>
          <cell r="CI9">
            <v>0.23525399999999999</v>
          </cell>
          <cell r="CJ9">
            <v>0.24099999999999999</v>
          </cell>
          <cell r="CK9">
            <v>0.2399</v>
          </cell>
        </row>
        <row r="10">
          <cell r="B10">
            <v>0.26150000000000001</v>
          </cell>
          <cell r="C10">
            <v>0.25990000000000002</v>
          </cell>
          <cell r="D10">
            <v>0.25869999999999999</v>
          </cell>
          <cell r="E10">
            <v>0.2581</v>
          </cell>
          <cell r="F10">
            <v>0.25629999999999997</v>
          </cell>
          <cell r="G10">
            <v>0.25140000000000001</v>
          </cell>
          <cell r="H10">
            <v>0.25119999999999998</v>
          </cell>
          <cell r="I10">
            <v>0.25080000000000002</v>
          </cell>
          <cell r="J10">
            <v>0.24979999999999999</v>
          </cell>
          <cell r="K10">
            <v>0.2492</v>
          </cell>
          <cell r="L10">
            <v>0.2467</v>
          </cell>
          <cell r="M10">
            <v>0.24629999999999999</v>
          </cell>
          <cell r="N10">
            <v>0.24149999999999999</v>
          </cell>
          <cell r="O10">
            <v>0.24229999999999999</v>
          </cell>
          <cell r="P10">
            <v>0.24110000000000001</v>
          </cell>
          <cell r="Q10">
            <v>0.2389</v>
          </cell>
          <cell r="R10">
            <v>0.23680000000000001</v>
          </cell>
          <cell r="S10">
            <v>0.23710000000000001</v>
          </cell>
          <cell r="T10">
            <v>0.23119999999999999</v>
          </cell>
          <cell r="U10">
            <v>0.2344</v>
          </cell>
          <cell r="V10">
            <v>0.2311</v>
          </cell>
          <cell r="W10">
            <v>0.23449999999999999</v>
          </cell>
          <cell r="X10">
            <v>0.23369999999999999</v>
          </cell>
          <cell r="Y10">
            <v>0.23139999999999999</v>
          </cell>
          <cell r="Z10">
            <v>0.22800000000000001</v>
          </cell>
          <cell r="AA10">
            <v>0.2271</v>
          </cell>
          <cell r="AB10">
            <v>0.22140000000000001</v>
          </cell>
          <cell r="AC10">
            <v>0.22359999999999999</v>
          </cell>
          <cell r="AD10">
            <v>0.22040000000000001</v>
          </cell>
          <cell r="AE10">
            <v>0.22140000000000001</v>
          </cell>
          <cell r="AF10">
            <v>0.22140000000000001</v>
          </cell>
          <cell r="AG10">
            <v>0.22040000000000001</v>
          </cell>
          <cell r="AH10">
            <v>0.21929999999999999</v>
          </cell>
          <cell r="AI10">
            <v>0.2185</v>
          </cell>
          <cell r="AJ10">
            <v>0.21587000000000001</v>
          </cell>
          <cell r="AK10">
            <v>0.21110000000000001</v>
          </cell>
          <cell r="AL10">
            <v>0.21079999999999999</v>
          </cell>
          <cell r="AM10">
            <v>0.2107</v>
          </cell>
          <cell r="AN10">
            <v>0.20519999999999999</v>
          </cell>
          <cell r="AO10">
            <v>0.20169999999999999</v>
          </cell>
          <cell r="AP10">
            <v>0.20069999999999999</v>
          </cell>
          <cell r="AQ10">
            <v>0.20419999999999999</v>
          </cell>
          <cell r="AR10">
            <v>0.20449999999999999</v>
          </cell>
          <cell r="AS10">
            <v>0.19889999999999999</v>
          </cell>
          <cell r="AT10">
            <v>0.19550000000000001</v>
          </cell>
          <cell r="AU10">
            <v>0.19420000000000001</v>
          </cell>
          <cell r="AV10">
            <v>0.19220000000000001</v>
          </cell>
          <cell r="AW10">
            <v>0.1908</v>
          </cell>
          <cell r="AX10">
            <v>0.19</v>
          </cell>
          <cell r="AY10">
            <v>0.18890000000000001</v>
          </cell>
          <cell r="AZ10">
            <v>0.1855</v>
          </cell>
          <cell r="BA10">
            <v>0.1842</v>
          </cell>
          <cell r="BB10">
            <v>0.1842</v>
          </cell>
          <cell r="BC10">
            <v>0.1832</v>
          </cell>
          <cell r="BD10">
            <v>0.182</v>
          </cell>
          <cell r="BE10">
            <v>0.18240000000000001</v>
          </cell>
          <cell r="BF10">
            <v>0.18110000000000001</v>
          </cell>
          <cell r="BG10">
            <v>0.1807</v>
          </cell>
          <cell r="BH10">
            <v>0.1799</v>
          </cell>
          <cell r="BI10">
            <v>0.1782</v>
          </cell>
          <cell r="BJ10">
            <v>0.1772</v>
          </cell>
          <cell r="BK10">
            <v>0.17249999999999999</v>
          </cell>
          <cell r="BL10">
            <v>0.17299999999999999</v>
          </cell>
          <cell r="BM10">
            <v>0.17100000000000001</v>
          </cell>
          <cell r="BN10">
            <v>0.17452000000000001</v>
          </cell>
          <cell r="BO10">
            <v>0.17050000000000001</v>
          </cell>
          <cell r="BP10">
            <v>0.1686</v>
          </cell>
          <cell r="BQ10">
            <v>0.16889999999999999</v>
          </cell>
          <cell r="BR10">
            <v>0.16719999999999999</v>
          </cell>
          <cell r="BS10">
            <v>0.16789999999999999</v>
          </cell>
          <cell r="BT10">
            <v>0.16200000000000001</v>
          </cell>
          <cell r="BU10">
            <v>0.16550000000000001</v>
          </cell>
          <cell r="BV10">
            <v>0.16350000000000001</v>
          </cell>
          <cell r="BW10">
            <v>0.16300000000000001</v>
          </cell>
          <cell r="BX10">
            <v>0.16320000000000001</v>
          </cell>
          <cell r="BY10">
            <v>0.16270000000000001</v>
          </cell>
          <cell r="BZ10">
            <v>0.16289999999999999</v>
          </cell>
          <cell r="CA10">
            <v>0.16220000000000001</v>
          </cell>
          <cell r="CB10">
            <v>0.16200000000000001</v>
          </cell>
          <cell r="CC10">
            <v>0.16170000000000001</v>
          </cell>
          <cell r="CD10">
            <v>0.1608</v>
          </cell>
          <cell r="CE10">
            <v>0.1608</v>
          </cell>
          <cell r="CF10">
            <v>0.16020000000000001</v>
          </cell>
          <cell r="CG10">
            <v>0.15890000000000001</v>
          </cell>
          <cell r="CH10">
            <v>0.15859999999999999</v>
          </cell>
          <cell r="CI10">
            <v>0.15740000000000001</v>
          </cell>
          <cell r="CJ10">
            <v>0.16020000000000001</v>
          </cell>
          <cell r="CK10">
            <v>0.157</v>
          </cell>
        </row>
        <row r="11">
          <cell r="B11">
            <v>0.25414999999999999</v>
          </cell>
          <cell r="C11">
            <v>0.25890000000000002</v>
          </cell>
          <cell r="D11">
            <v>0.25080000000000002</v>
          </cell>
          <cell r="E11">
            <v>0.25440000000000002</v>
          </cell>
          <cell r="F11">
            <v>0.25240000000000001</v>
          </cell>
          <cell r="G11">
            <v>0.2525</v>
          </cell>
          <cell r="H11">
            <v>0.25019999999999998</v>
          </cell>
          <cell r="I11">
            <v>0.24998000000000001</v>
          </cell>
          <cell r="J11">
            <v>0.249</v>
          </cell>
          <cell r="K11">
            <v>0.2495</v>
          </cell>
          <cell r="L11">
            <v>0.2457</v>
          </cell>
          <cell r="M11">
            <v>0.2427</v>
          </cell>
          <cell r="N11">
            <v>0.24249999999999999</v>
          </cell>
          <cell r="O11">
            <v>0.2417</v>
          </cell>
          <cell r="P11">
            <v>0.24149999999999999</v>
          </cell>
          <cell r="Q11">
            <v>0.2409</v>
          </cell>
          <cell r="R11">
            <v>0.23980000000000001</v>
          </cell>
          <cell r="S11">
            <v>0.23849999999999999</v>
          </cell>
          <cell r="T11">
            <v>0.23549999999999999</v>
          </cell>
          <cell r="U11">
            <v>0.23419999999999999</v>
          </cell>
          <cell r="V11">
            <v>0.23230000000000001</v>
          </cell>
          <cell r="W11">
            <v>0.23219999999999999</v>
          </cell>
          <cell r="X11">
            <v>0.2319</v>
          </cell>
          <cell r="Y11">
            <v>0.2324</v>
          </cell>
          <cell r="Z11">
            <v>0.23119999999999999</v>
          </cell>
          <cell r="AA11">
            <v>0.23080000000000001</v>
          </cell>
          <cell r="AB11">
            <v>0.2301</v>
          </cell>
          <cell r="AC11">
            <v>0.22889999999999999</v>
          </cell>
          <cell r="AD11">
            <v>0.2291</v>
          </cell>
          <cell r="AE11">
            <v>0.22539999999999999</v>
          </cell>
          <cell r="AF11">
            <v>0.22289999999999999</v>
          </cell>
          <cell r="AG11">
            <v>0.22309999999999999</v>
          </cell>
          <cell r="AH11">
            <v>0.22170000000000001</v>
          </cell>
          <cell r="AI11">
            <v>0.22070000000000001</v>
          </cell>
          <cell r="AJ11">
            <v>0.22009999999999999</v>
          </cell>
          <cell r="AK11">
            <v>0.2195</v>
          </cell>
          <cell r="AL11">
            <v>0.21820000000000001</v>
          </cell>
          <cell r="AM11">
            <v>0.2172</v>
          </cell>
          <cell r="AN11">
            <v>0.2152</v>
          </cell>
          <cell r="AO11">
            <v>0.21149999999999999</v>
          </cell>
          <cell r="AP11">
            <v>0.21110000000000001</v>
          </cell>
          <cell r="AQ11">
            <v>0.2104</v>
          </cell>
          <cell r="AR11">
            <v>0.20949999999999999</v>
          </cell>
          <cell r="AS11">
            <v>0.20860000000000001</v>
          </cell>
          <cell r="AT11">
            <v>0.2072</v>
          </cell>
          <cell r="AU11">
            <v>0.20419999999999999</v>
          </cell>
          <cell r="AV11">
            <v>0.20169999999999999</v>
          </cell>
          <cell r="AW11">
            <v>0.2011</v>
          </cell>
          <cell r="AX11">
            <v>0.2014</v>
          </cell>
          <cell r="AY11">
            <v>0.19889999999999999</v>
          </cell>
          <cell r="AZ11">
            <v>0.19719999999999999</v>
          </cell>
          <cell r="BA11">
            <v>0.19639999999999999</v>
          </cell>
          <cell r="BB11">
            <v>0.19520000000000001</v>
          </cell>
          <cell r="BC11">
            <v>0.1925</v>
          </cell>
          <cell r="BD11">
            <v>0.193</v>
          </cell>
          <cell r="BE11">
            <v>0.192</v>
          </cell>
          <cell r="BF11">
            <v>0.1908</v>
          </cell>
          <cell r="BG11">
            <v>0.19</v>
          </cell>
          <cell r="BH11">
            <v>0.18820000000000001</v>
          </cell>
          <cell r="BI11">
            <v>0.1852</v>
          </cell>
          <cell r="BJ11">
            <v>0.18440000000000001</v>
          </cell>
          <cell r="BK11">
            <v>0.18229999999999999</v>
          </cell>
          <cell r="BL11">
            <v>0.18190000000000001</v>
          </cell>
          <cell r="BM11">
            <v>0.182</v>
          </cell>
          <cell r="BN11">
            <v>0.18240000000000001</v>
          </cell>
          <cell r="BO11">
            <v>0.17979999999999999</v>
          </cell>
          <cell r="BP11">
            <v>0.1782</v>
          </cell>
          <cell r="BQ11">
            <v>0.17560000000000001</v>
          </cell>
          <cell r="BR11">
            <v>0.17230000000000001</v>
          </cell>
          <cell r="BS11">
            <v>0.17230000000000001</v>
          </cell>
          <cell r="BT11">
            <v>0.1721</v>
          </cell>
          <cell r="BU11">
            <v>0.1724</v>
          </cell>
          <cell r="BV11">
            <v>0.1711</v>
          </cell>
          <cell r="BW11">
            <v>0.17150000000000001</v>
          </cell>
          <cell r="BX11">
            <v>0.17080000000000001</v>
          </cell>
          <cell r="BY11">
            <v>0.1704</v>
          </cell>
          <cell r="BZ11">
            <v>0.17019999999999999</v>
          </cell>
          <cell r="CA11">
            <v>0.17150000000000001</v>
          </cell>
          <cell r="CB11">
            <v>0.17100000000000001</v>
          </cell>
          <cell r="CC11">
            <v>0.1704</v>
          </cell>
          <cell r="CD11">
            <v>0.1701</v>
          </cell>
          <cell r="CE11">
            <v>0.16980000000000001</v>
          </cell>
          <cell r="CF11">
            <v>0.16919999999999999</v>
          </cell>
          <cell r="CG11">
            <v>0.16889999999999999</v>
          </cell>
          <cell r="CH11">
            <v>0.1681</v>
          </cell>
          <cell r="CI11">
            <v>0.16819999999999999</v>
          </cell>
          <cell r="CJ11">
            <v>0.1658</v>
          </cell>
          <cell r="CK11">
            <v>0.16550000000000001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0">
          <cell r="I10" t="str">
            <v>sc</v>
          </cell>
          <cell r="M10">
            <v>1.0000000000000002</v>
          </cell>
          <cell r="O10">
            <v>5.4419608778001886E-2</v>
          </cell>
        </row>
        <row r="11">
          <cell r="I11" t="str">
            <v>kri</v>
          </cell>
          <cell r="M11">
            <v>1.1106871976774781</v>
          </cell>
          <cell r="O11">
            <v>9.3893350897216229E-3</v>
          </cell>
        </row>
        <row r="12">
          <cell r="I12" t="str">
            <v>si</v>
          </cell>
          <cell r="M12">
            <v>1.5136473673950397</v>
          </cell>
          <cell r="O12">
            <v>9.1191057652666593E-2</v>
          </cell>
        </row>
        <row r="13">
          <cell r="I13" t="str">
            <v>si+kri</v>
          </cell>
          <cell r="M13">
            <v>1.9124500607149004</v>
          </cell>
          <cell r="O13">
            <v>0.19452696757309199</v>
          </cell>
        </row>
        <row r="15">
          <cell r="M15">
            <v>1.0000001565231538</v>
          </cell>
          <cell r="O15">
            <v>6.0311554278745426E-2</v>
          </cell>
        </row>
        <row r="16">
          <cell r="M16">
            <v>1.3695991187050549</v>
          </cell>
          <cell r="O16">
            <v>0.1052075983569572</v>
          </cell>
        </row>
        <row r="17">
          <cell r="M17">
            <v>1.8905488174756726</v>
          </cell>
          <cell r="O17">
            <v>0.17492794517066981</v>
          </cell>
        </row>
        <row r="18">
          <cell r="M18">
            <v>2.1295978338342967</v>
          </cell>
          <cell r="O18">
            <v>8.3332813684224613E-2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5">
          <cell r="B35">
            <v>0.72460317626373094</v>
          </cell>
          <cell r="C35">
            <v>0.58483339391103661</v>
          </cell>
          <cell r="D35">
            <v>0.59160923869516868</v>
          </cell>
          <cell r="E35">
            <v>0.64644168765077925</v>
          </cell>
          <cell r="F35">
            <v>0.64457330294588822</v>
          </cell>
        </row>
        <row r="36">
          <cell r="B36">
            <v>1.9352859814181249</v>
          </cell>
          <cell r="C36">
            <v>1.8257477340030077</v>
          </cell>
          <cell r="D36">
            <v>1.9227647920572872</v>
          </cell>
          <cell r="E36">
            <v>1.7927108306064219</v>
          </cell>
          <cell r="F36">
            <v>2.0084593184681809</v>
          </cell>
        </row>
        <row r="37">
          <cell r="B37">
            <v>1.1943768885575354</v>
          </cell>
          <cell r="C37">
            <v>1.2005589454603782</v>
          </cell>
          <cell r="D37">
            <v>1.1470249088665463</v>
          </cell>
          <cell r="E37">
            <v>1.2025466017516273</v>
          </cell>
          <cell r="F37">
            <v>1.182943363229036</v>
          </cell>
        </row>
        <row r="38">
          <cell r="B38">
            <v>0.46860265805267243</v>
          </cell>
          <cell r="C38">
            <v>0.47270683744741376</v>
          </cell>
          <cell r="D38">
            <v>0.46775878882764427</v>
          </cell>
          <cell r="E38">
            <v>0.5185828647262547</v>
          </cell>
          <cell r="F38">
            <v>0.45633786200024357</v>
          </cell>
        </row>
        <row r="39">
          <cell r="B39">
            <v>1.0472861262571833</v>
          </cell>
          <cell r="C39">
            <v>1.2191324751177119</v>
          </cell>
          <cell r="D39">
            <v>1.2052355062617359</v>
          </cell>
          <cell r="E39">
            <v>1.1358732237623299</v>
          </cell>
          <cell r="F39">
            <v>1.0882504393407211</v>
          </cell>
        </row>
        <row r="40">
          <cell r="B40">
            <v>0.62984516635222754</v>
          </cell>
          <cell r="C40">
            <v>0.69702062013005828</v>
          </cell>
          <cell r="D40">
            <v>0.66560678705110854</v>
          </cell>
          <cell r="E40">
            <v>0.70384478860384414</v>
          </cell>
          <cell r="F40">
            <v>0.61943571178678558</v>
          </cell>
        </row>
        <row r="41">
          <cell r="B41">
            <v>0.73575963086085983</v>
          </cell>
          <cell r="C41">
            <v>0.69608009436088381</v>
          </cell>
          <cell r="D41">
            <v>0.80599261842826542</v>
          </cell>
          <cell r="E41">
            <v>0.60725795572104513</v>
          </cell>
          <cell r="F41">
            <v>0.36415343690339402</v>
          </cell>
        </row>
        <row r="42">
          <cell r="B42">
            <v>0.54433588048033521</v>
          </cell>
          <cell r="C42">
            <v>0.64239603539143064</v>
          </cell>
          <cell r="D42">
            <v>0.76264064410609711</v>
          </cell>
          <cell r="E42">
            <v>0.34456669610874197</v>
          </cell>
          <cell r="F42">
            <v>0.42900272624583125</v>
          </cell>
        </row>
        <row r="43">
          <cell r="B43">
            <v>0.81287901543230623</v>
          </cell>
          <cell r="C43">
            <v>0.79086984818378203</v>
          </cell>
          <cell r="D43">
            <v>0.83415489260075226</v>
          </cell>
          <cell r="E43">
            <v>0.64490947072056826</v>
          </cell>
          <cell r="F43">
            <v>0.67555923953070751</v>
          </cell>
        </row>
        <row r="44">
          <cell r="B44">
            <v>0.61520579448570312</v>
          </cell>
          <cell r="C44">
            <v>0.71257069031353248</v>
          </cell>
          <cell r="D44">
            <v>0.75803663292454426</v>
          </cell>
          <cell r="E44">
            <v>0.34012970204319698</v>
          </cell>
          <cell r="F44">
            <v>0.526244115890383</v>
          </cell>
        </row>
        <row r="45">
          <cell r="B45">
            <v>0.38432849332373592</v>
          </cell>
          <cell r="C45">
            <v>0.64432711068140314</v>
          </cell>
          <cell r="D45">
            <v>0.64078890839761848</v>
          </cell>
          <cell r="E45">
            <v>0.23656553554082416</v>
          </cell>
          <cell r="F45">
            <v>0.43467627651013996</v>
          </cell>
        </row>
        <row r="46">
          <cell r="B46">
            <v>0.67307511168381817</v>
          </cell>
          <cell r="C46">
            <v>0.64108169853457853</v>
          </cell>
          <cell r="D46">
            <v>0.58647516749781048</v>
          </cell>
          <cell r="E46">
            <v>0.31692287394756968</v>
          </cell>
          <cell r="F46">
            <v>0.64819433791843772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2">
          <cell r="L22">
            <v>1</v>
          </cell>
          <cell r="M22">
            <v>6.0425573994792078E-2</v>
          </cell>
          <cell r="O22">
            <v>2.903009278751418E-3</v>
          </cell>
          <cell r="Q22">
            <v>1.714976570418851E-2</v>
          </cell>
        </row>
        <row r="23">
          <cell r="M23">
            <v>8.1334903728300947E-2</v>
          </cell>
          <cell r="O23">
            <v>2.78553011488148E-2</v>
          </cell>
          <cell r="Q23">
            <v>4.5962601803555499E-2</v>
          </cell>
        </row>
        <row r="24">
          <cell r="M24">
            <v>0.15192162589551206</v>
          </cell>
          <cell r="O24">
            <v>5.3833857461742157E-2</v>
          </cell>
          <cell r="Q24">
            <v>6.913016938880201E-2</v>
          </cell>
        </row>
        <row r="25">
          <cell r="M25">
            <v>0.12480801606596204</v>
          </cell>
          <cell r="O25">
            <v>1.7846915244505154E-2</v>
          </cell>
          <cell r="Q25">
            <v>9.4664833036034332E-2</v>
          </cell>
        </row>
        <row r="26">
          <cell r="M26">
            <v>8.8365603033186371E-2</v>
          </cell>
          <cell r="O26">
            <v>3.6147123818817094E-2</v>
          </cell>
          <cell r="Q26">
            <v>3.3826912417033214E-2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50">
          <cell r="A50">
            <v>0</v>
          </cell>
          <cell r="B50">
            <v>80</v>
          </cell>
          <cell r="C50">
            <v>160</v>
          </cell>
          <cell r="D50">
            <v>310</v>
          </cell>
          <cell r="E50">
            <v>390</v>
          </cell>
          <cell r="F50">
            <v>470</v>
          </cell>
          <cell r="G50">
            <v>550</v>
          </cell>
          <cell r="H50">
            <v>630</v>
          </cell>
          <cell r="I50">
            <v>710</v>
          </cell>
          <cell r="J50">
            <v>790</v>
          </cell>
          <cell r="K50">
            <v>870</v>
          </cell>
          <cell r="L50">
            <v>950</v>
          </cell>
          <cell r="M50">
            <v>1030</v>
          </cell>
          <cell r="N50">
            <v>1110</v>
          </cell>
          <cell r="O50">
            <v>1190</v>
          </cell>
          <cell r="P50">
            <v>1270</v>
          </cell>
          <cell r="Q50">
            <v>1350</v>
          </cell>
          <cell r="R50">
            <v>1430</v>
          </cell>
          <cell r="S50">
            <v>1510</v>
          </cell>
          <cell r="T50">
            <v>1590</v>
          </cell>
          <cell r="U50">
            <v>1670</v>
          </cell>
          <cell r="V50">
            <v>1750</v>
          </cell>
          <cell r="W50">
            <v>1830</v>
          </cell>
          <cell r="X50">
            <v>1910</v>
          </cell>
          <cell r="Y50">
            <v>1990</v>
          </cell>
          <cell r="Z50">
            <v>2070</v>
          </cell>
          <cell r="AA50">
            <v>2150</v>
          </cell>
          <cell r="AB50">
            <v>2230</v>
          </cell>
          <cell r="AC50">
            <v>2310</v>
          </cell>
          <cell r="AD50">
            <v>2390</v>
          </cell>
          <cell r="AE50">
            <v>2470</v>
          </cell>
          <cell r="AF50">
            <v>2550</v>
          </cell>
          <cell r="AG50">
            <v>2630</v>
          </cell>
          <cell r="AH50">
            <v>2710</v>
          </cell>
          <cell r="AI50">
            <v>2790</v>
          </cell>
          <cell r="AJ50">
            <v>2870</v>
          </cell>
          <cell r="AK50">
            <v>2950</v>
          </cell>
          <cell r="AL50">
            <v>3030</v>
          </cell>
          <cell r="AM50">
            <v>3110</v>
          </cell>
          <cell r="AN50">
            <v>3190</v>
          </cell>
          <cell r="AO50">
            <v>3270</v>
          </cell>
          <cell r="AP50">
            <v>3350</v>
          </cell>
          <cell r="AQ50">
            <v>3430</v>
          </cell>
          <cell r="AR50">
            <v>3510</v>
          </cell>
          <cell r="AS50">
            <v>3590</v>
          </cell>
          <cell r="AT50">
            <v>3670</v>
          </cell>
          <cell r="AU50">
            <v>3750</v>
          </cell>
          <cell r="AV50">
            <v>3830</v>
          </cell>
          <cell r="AW50">
            <v>3910</v>
          </cell>
          <cell r="AX50">
            <v>3990</v>
          </cell>
          <cell r="AY50">
            <v>4070</v>
          </cell>
          <cell r="AZ50">
            <v>4150</v>
          </cell>
          <cell r="BA50">
            <v>4230</v>
          </cell>
          <cell r="BB50">
            <v>4310</v>
          </cell>
          <cell r="BC50">
            <v>4390</v>
          </cell>
          <cell r="BD50">
            <v>4470</v>
          </cell>
          <cell r="BE50">
            <v>4550</v>
          </cell>
          <cell r="BF50">
            <v>4630</v>
          </cell>
          <cell r="BG50">
            <v>4710</v>
          </cell>
          <cell r="BH50">
            <v>4790</v>
          </cell>
          <cell r="BI50">
            <v>4870</v>
          </cell>
          <cell r="BJ50">
            <v>4950</v>
          </cell>
          <cell r="BK50">
            <v>5030</v>
          </cell>
          <cell r="BL50">
            <v>5110</v>
          </cell>
          <cell r="BM50">
            <v>5230</v>
          </cell>
          <cell r="BN50">
            <v>5350</v>
          </cell>
          <cell r="BO50">
            <v>5470</v>
          </cell>
          <cell r="BP50">
            <v>5590</v>
          </cell>
          <cell r="BQ50">
            <v>5710</v>
          </cell>
          <cell r="BR50">
            <v>5830</v>
          </cell>
          <cell r="BS50">
            <v>5950</v>
          </cell>
          <cell r="BT50">
            <v>6070</v>
          </cell>
          <cell r="BU50">
            <v>6190</v>
          </cell>
          <cell r="BV50">
            <v>6310</v>
          </cell>
          <cell r="BW50">
            <v>6430</v>
          </cell>
          <cell r="BX50">
            <v>6550</v>
          </cell>
          <cell r="BY50">
            <v>6670</v>
          </cell>
          <cell r="BZ50">
            <v>6790</v>
          </cell>
          <cell r="CA50">
            <v>6910</v>
          </cell>
          <cell r="CB50">
            <v>7030</v>
          </cell>
          <cell r="CC50">
            <v>7150</v>
          </cell>
          <cell r="CD50">
            <v>7270</v>
          </cell>
          <cell r="CE50">
            <v>7390</v>
          </cell>
          <cell r="CF50">
            <v>7510</v>
          </cell>
          <cell r="CG50">
            <v>7630</v>
          </cell>
          <cell r="CH50">
            <v>7750</v>
          </cell>
          <cell r="CI50">
            <v>7870</v>
          </cell>
          <cell r="CJ50">
            <v>7990</v>
          </cell>
          <cell r="CK50">
            <v>8110</v>
          </cell>
          <cell r="CL50">
            <v>8230</v>
          </cell>
          <cell r="CM50">
            <v>8350</v>
          </cell>
          <cell r="CN50">
            <v>8470</v>
          </cell>
          <cell r="CO50">
            <v>8590</v>
          </cell>
          <cell r="CP50">
            <v>8710</v>
          </cell>
          <cell r="CQ50">
            <v>8830</v>
          </cell>
          <cell r="CR50">
            <v>8950</v>
          </cell>
          <cell r="CS50">
            <v>9070</v>
          </cell>
          <cell r="CT50">
            <v>9190</v>
          </cell>
          <cell r="CU50">
            <v>9310</v>
          </cell>
          <cell r="CV50">
            <v>9430</v>
          </cell>
          <cell r="CW50">
            <v>9550</v>
          </cell>
          <cell r="CX50">
            <v>9670</v>
          </cell>
          <cell r="CY50">
            <v>9790</v>
          </cell>
        </row>
        <row r="51">
          <cell r="A51">
            <v>0.108</v>
          </cell>
          <cell r="B51">
            <v>0.1123</v>
          </cell>
          <cell r="C51">
            <v>0.11260000000000001</v>
          </cell>
          <cell r="D51">
            <v>0.11269999999999999</v>
          </cell>
          <cell r="E51">
            <v>0.11219999999999999</v>
          </cell>
          <cell r="F51">
            <v>0.112</v>
          </cell>
          <cell r="G51">
            <v>0.1118</v>
          </cell>
          <cell r="H51">
            <v>0.1124</v>
          </cell>
          <cell r="I51">
            <v>0.1142</v>
          </cell>
          <cell r="J51">
            <v>0.1119</v>
          </cell>
          <cell r="K51">
            <v>0.1144</v>
          </cell>
          <cell r="L51">
            <v>0.1145</v>
          </cell>
          <cell r="M51">
            <v>0.114</v>
          </cell>
          <cell r="N51">
            <v>0.1148</v>
          </cell>
          <cell r="O51">
            <v>0.11459999999999999</v>
          </cell>
          <cell r="P51">
            <v>0.1134</v>
          </cell>
          <cell r="Q51">
            <v>0.11119999999999999</v>
          </cell>
          <cell r="R51">
            <v>0.11169999999999999</v>
          </cell>
          <cell r="S51">
            <v>0.10970000000000001</v>
          </cell>
          <cell r="T51">
            <v>0.1124</v>
          </cell>
          <cell r="U51">
            <v>0.1142</v>
          </cell>
          <cell r="V51">
            <v>0.1135</v>
          </cell>
          <cell r="W51">
            <v>0.1145</v>
          </cell>
          <cell r="X51">
            <v>0.11409999999999999</v>
          </cell>
          <cell r="Y51">
            <v>0.11310000000000001</v>
          </cell>
          <cell r="Z51">
            <v>0.1139</v>
          </cell>
          <cell r="AA51">
            <v>0.1123</v>
          </cell>
          <cell r="AB51">
            <v>0.113</v>
          </cell>
          <cell r="AC51">
            <v>0.1157</v>
          </cell>
          <cell r="AD51">
            <v>0.1168</v>
          </cell>
          <cell r="AE51">
            <v>0.1169</v>
          </cell>
          <cell r="AF51">
            <v>0.11219999999999999</v>
          </cell>
          <cell r="AG51">
            <v>0.11600000000000001</v>
          </cell>
          <cell r="AH51">
            <v>0.1169</v>
          </cell>
          <cell r="AI51">
            <v>0.1186</v>
          </cell>
          <cell r="AJ51">
            <v>0.115</v>
          </cell>
          <cell r="AK51">
            <v>0.1202</v>
          </cell>
          <cell r="AL51">
            <v>0.1197</v>
          </cell>
          <cell r="AM51">
            <v>0.1198</v>
          </cell>
          <cell r="AN51">
            <v>0.11890000000000001</v>
          </cell>
          <cell r="AO51">
            <v>0.1201</v>
          </cell>
          <cell r="AP51">
            <v>0.1202</v>
          </cell>
          <cell r="AQ51">
            <v>0.1222</v>
          </cell>
          <cell r="AR51">
            <v>0.1231</v>
          </cell>
          <cell r="AS51">
            <v>0.12039999999999999</v>
          </cell>
          <cell r="AT51">
            <v>0.12180000000000001</v>
          </cell>
          <cell r="AU51">
            <v>0.1227</v>
          </cell>
          <cell r="AV51">
            <v>0.12089999999999999</v>
          </cell>
          <cell r="AW51">
            <v>0.12230000000000001</v>
          </cell>
          <cell r="AX51">
            <v>0.1211</v>
          </cell>
          <cell r="AY51">
            <v>0.121</v>
          </cell>
          <cell r="AZ51">
            <v>0.1226</v>
          </cell>
          <cell r="BA51">
            <v>0.124</v>
          </cell>
          <cell r="BB51">
            <v>0.122</v>
          </cell>
          <cell r="BC51">
            <v>0.124</v>
          </cell>
          <cell r="BD51">
            <v>0.12280000000000001</v>
          </cell>
          <cell r="BE51">
            <v>0.12230000000000001</v>
          </cell>
          <cell r="BF51">
            <v>0.1249</v>
          </cell>
          <cell r="BG51">
            <v>0.126</v>
          </cell>
          <cell r="BH51">
            <v>0.1249</v>
          </cell>
          <cell r="BI51">
            <v>0.1249</v>
          </cell>
          <cell r="BJ51">
            <v>0.128</v>
          </cell>
          <cell r="BK51">
            <v>0.129</v>
          </cell>
          <cell r="BL51">
            <v>0.127</v>
          </cell>
          <cell r="BM51">
            <v>0.12559999999999999</v>
          </cell>
          <cell r="BN51">
            <v>0.1258</v>
          </cell>
          <cell r="BO51">
            <v>0.1278</v>
          </cell>
          <cell r="BP51">
            <v>0.1278</v>
          </cell>
          <cell r="BQ51">
            <v>0.12709999999999999</v>
          </cell>
          <cell r="BR51">
            <v>0.1308</v>
          </cell>
          <cell r="BS51">
            <v>0.12740000000000001</v>
          </cell>
          <cell r="BT51">
            <v>0.128</v>
          </cell>
          <cell r="BU51">
            <v>0.1258</v>
          </cell>
          <cell r="BV51">
            <v>0.12720000000000001</v>
          </cell>
          <cell r="BW51">
            <v>0.12989999999999999</v>
          </cell>
          <cell r="BX51">
            <v>0.1308</v>
          </cell>
          <cell r="BY51">
            <v>0.1353</v>
          </cell>
          <cell r="BZ51">
            <v>0.1358</v>
          </cell>
          <cell r="CA51">
            <v>0.12970000000000001</v>
          </cell>
          <cell r="CB51">
            <v>0.13370000000000001</v>
          </cell>
          <cell r="CC51">
            <v>0.1326</v>
          </cell>
          <cell r="CD51">
            <v>0.13350000000000001</v>
          </cell>
          <cell r="CE51">
            <v>0.1351</v>
          </cell>
          <cell r="CF51">
            <v>0.1305</v>
          </cell>
          <cell r="CG51">
            <v>0.1353</v>
          </cell>
          <cell r="CH51">
            <v>0.13469999999999999</v>
          </cell>
          <cell r="CI51">
            <v>0.1368</v>
          </cell>
          <cell r="CJ51">
            <v>0.13569999999999999</v>
          </cell>
          <cell r="CK51">
            <v>0.13600000000000001</v>
          </cell>
          <cell r="CL51">
            <v>0.13730000000000001</v>
          </cell>
          <cell r="CM51">
            <v>0.13739999999999999</v>
          </cell>
          <cell r="CN51">
            <v>0.13689999999999999</v>
          </cell>
          <cell r="CO51">
            <v>0.13569999999999999</v>
          </cell>
          <cell r="CP51">
            <v>0.13619999999999999</v>
          </cell>
          <cell r="CQ51">
            <v>0.13880000000000001</v>
          </cell>
          <cell r="CR51">
            <v>0.13830000000000001</v>
          </cell>
          <cell r="CS51">
            <v>0.1358</v>
          </cell>
          <cell r="CT51">
            <v>0.1371</v>
          </cell>
          <cell r="CU51">
            <v>0.13800000000000001</v>
          </cell>
          <cell r="CV51">
            <v>0.13900000000000001</v>
          </cell>
          <cell r="CW51">
            <v>0.13830000000000001</v>
          </cell>
          <cell r="CX51">
            <v>0.13719999999999999</v>
          </cell>
          <cell r="CY51">
            <v>0.13830000000000001</v>
          </cell>
        </row>
        <row r="52">
          <cell r="A52">
            <v>9.7299999999999998E-2</v>
          </cell>
          <cell r="B52">
            <v>9.9900000000000003E-2</v>
          </cell>
          <cell r="C52">
            <v>9.9500000000000005E-2</v>
          </cell>
          <cell r="D52">
            <v>9.4700000000000006E-2</v>
          </cell>
          <cell r="E52">
            <v>9.74E-2</v>
          </cell>
          <cell r="F52">
            <v>9.6000000000000002E-2</v>
          </cell>
          <cell r="G52">
            <v>9.8500000000000004E-2</v>
          </cell>
          <cell r="H52">
            <v>0.1007</v>
          </cell>
          <cell r="I52">
            <v>9.9599999999999994E-2</v>
          </cell>
          <cell r="J52">
            <v>0.1</v>
          </cell>
          <cell r="K52">
            <v>0.10100000000000001</v>
          </cell>
          <cell r="L52">
            <v>0.1018</v>
          </cell>
          <cell r="M52">
            <v>0.10100000000000001</v>
          </cell>
          <cell r="N52">
            <v>0.10199999999999999</v>
          </cell>
          <cell r="O52">
            <v>0.1004</v>
          </cell>
          <cell r="P52">
            <v>0.1003</v>
          </cell>
          <cell r="Q52">
            <v>0.10100000000000001</v>
          </cell>
          <cell r="R52">
            <v>9.8799999999999999E-2</v>
          </cell>
          <cell r="S52">
            <v>9.7299999999999998E-2</v>
          </cell>
          <cell r="T52">
            <v>9.7100000000000006E-2</v>
          </cell>
          <cell r="U52">
            <v>9.7199999999999995E-2</v>
          </cell>
          <cell r="V52">
            <v>9.8599999999999993E-2</v>
          </cell>
          <cell r="W52">
            <v>9.8400000000000001E-2</v>
          </cell>
          <cell r="X52">
            <v>0.10050000000000001</v>
          </cell>
          <cell r="Y52">
            <v>0.10050000000000001</v>
          </cell>
          <cell r="Z52">
            <v>0.10050000000000001</v>
          </cell>
          <cell r="AA52">
            <v>0.10249999999999999</v>
          </cell>
          <cell r="AB52">
            <v>0.1038</v>
          </cell>
          <cell r="AC52">
            <v>0.1012</v>
          </cell>
          <cell r="AD52">
            <v>0.1003</v>
          </cell>
          <cell r="AE52">
            <v>0.1014</v>
          </cell>
          <cell r="AF52">
            <v>0.1003</v>
          </cell>
          <cell r="AG52">
            <v>0.1003</v>
          </cell>
          <cell r="AH52">
            <v>0.10249999999999999</v>
          </cell>
          <cell r="AI52">
            <v>0.1037</v>
          </cell>
          <cell r="AJ52">
            <v>0.1041</v>
          </cell>
          <cell r="AK52">
            <v>0.1061</v>
          </cell>
          <cell r="AL52">
            <v>0.10390000000000001</v>
          </cell>
          <cell r="AM52">
            <v>0.1053</v>
          </cell>
          <cell r="AN52">
            <v>0.104</v>
          </cell>
          <cell r="AO52">
            <v>0.1076</v>
          </cell>
          <cell r="AP52">
            <v>0.1056</v>
          </cell>
          <cell r="AQ52">
            <v>0.1043</v>
          </cell>
          <cell r="AR52">
            <v>0.1051</v>
          </cell>
          <cell r="AS52">
            <v>0.1076</v>
          </cell>
          <cell r="AT52">
            <v>0.107</v>
          </cell>
          <cell r="AU52">
            <v>0.10780000000000001</v>
          </cell>
          <cell r="AV52">
            <v>0.11</v>
          </cell>
          <cell r="AW52">
            <v>0.10829999999999999</v>
          </cell>
          <cell r="AX52">
            <v>0.11</v>
          </cell>
          <cell r="AY52">
            <v>0.11169999999999999</v>
          </cell>
          <cell r="AZ52">
            <v>0.11210000000000001</v>
          </cell>
          <cell r="BA52">
            <v>0.109</v>
          </cell>
          <cell r="BB52">
            <v>0.10920000000000001</v>
          </cell>
          <cell r="BC52">
            <v>0.111</v>
          </cell>
          <cell r="BD52">
            <v>0.11210000000000001</v>
          </cell>
          <cell r="BE52">
            <v>0.1119</v>
          </cell>
          <cell r="BF52">
            <v>0.1134</v>
          </cell>
          <cell r="BG52">
            <v>0.111</v>
          </cell>
          <cell r="BH52">
            <v>0.1115</v>
          </cell>
          <cell r="BI52">
            <v>0.11070000000000001</v>
          </cell>
          <cell r="BJ52">
            <v>0.112</v>
          </cell>
          <cell r="BK52">
            <v>0.112</v>
          </cell>
          <cell r="BL52">
            <v>0.1116</v>
          </cell>
          <cell r="BM52">
            <v>0.11360000000000001</v>
          </cell>
          <cell r="BN52">
            <v>0.1129</v>
          </cell>
          <cell r="BO52">
            <v>0.1154</v>
          </cell>
          <cell r="BP52">
            <v>0.11310000000000001</v>
          </cell>
          <cell r="BQ52">
            <v>0.1132</v>
          </cell>
          <cell r="BR52">
            <v>0.114</v>
          </cell>
          <cell r="BS52">
            <v>0.11609999999999999</v>
          </cell>
          <cell r="BT52">
            <v>0.1148</v>
          </cell>
          <cell r="BU52">
            <v>0.1172</v>
          </cell>
          <cell r="BV52">
            <v>0.1162</v>
          </cell>
          <cell r="BW52">
            <v>0.1174</v>
          </cell>
          <cell r="BX52">
            <v>0.11840000000000001</v>
          </cell>
          <cell r="BY52">
            <v>0.121</v>
          </cell>
          <cell r="BZ52">
            <v>0.12</v>
          </cell>
          <cell r="CA52">
            <v>0.11899999999999999</v>
          </cell>
          <cell r="CB52">
            <v>0.12</v>
          </cell>
          <cell r="CC52">
            <v>0.121</v>
          </cell>
          <cell r="CD52">
            <v>0.12</v>
          </cell>
          <cell r="CE52">
            <v>0.11899999999999999</v>
          </cell>
          <cell r="CF52">
            <v>0.12</v>
          </cell>
          <cell r="CG52">
            <v>0.12</v>
          </cell>
          <cell r="CH52">
            <v>0.1249</v>
          </cell>
          <cell r="CI52">
            <v>0.126</v>
          </cell>
          <cell r="CJ52">
            <v>0.1249</v>
          </cell>
          <cell r="CK52">
            <v>0.1265</v>
          </cell>
          <cell r="CL52">
            <v>0.12379999999999999</v>
          </cell>
          <cell r="CM52">
            <v>0.12670000000000001</v>
          </cell>
          <cell r="CN52">
            <v>0.1245</v>
          </cell>
          <cell r="CO52">
            <v>0.12470000000000001</v>
          </cell>
          <cell r="CP52">
            <v>0.12720000000000001</v>
          </cell>
          <cell r="CQ52">
            <v>0.12770000000000001</v>
          </cell>
          <cell r="CR52">
            <v>0.1263</v>
          </cell>
          <cell r="CS52">
            <v>0.12790000000000001</v>
          </cell>
          <cell r="CT52">
            <v>0.1273</v>
          </cell>
          <cell r="CU52">
            <v>0.129</v>
          </cell>
          <cell r="CV52">
            <v>0.129</v>
          </cell>
          <cell r="CW52">
            <v>0.12790000000000001</v>
          </cell>
          <cell r="CX52">
            <v>0.128</v>
          </cell>
          <cell r="CY52">
            <v>0.12820000000000001</v>
          </cell>
        </row>
        <row r="53">
          <cell r="A53">
            <v>8.4099999999999994E-2</v>
          </cell>
          <cell r="B53">
            <v>8.5300000000000001E-2</v>
          </cell>
          <cell r="C53">
            <v>8.1799999999999998E-2</v>
          </cell>
          <cell r="D53">
            <v>9.1700000000000004E-2</v>
          </cell>
          <cell r="E53">
            <v>9.2100000000000001E-2</v>
          </cell>
          <cell r="F53">
            <v>9.4100000000000003E-2</v>
          </cell>
          <cell r="G53">
            <v>9.4200000000000006E-2</v>
          </cell>
          <cell r="H53">
            <v>9.9400000000000002E-2</v>
          </cell>
          <cell r="I53">
            <v>9.8100000000000007E-2</v>
          </cell>
          <cell r="J53">
            <v>9.8699999999999996E-2</v>
          </cell>
          <cell r="K53">
            <v>9.9400000000000002E-2</v>
          </cell>
          <cell r="L53">
            <v>9.8699999999999996E-2</v>
          </cell>
          <cell r="M53">
            <v>9.9500000000000005E-2</v>
          </cell>
          <cell r="N53">
            <v>9.9000000000000005E-2</v>
          </cell>
          <cell r="O53">
            <v>9.9699999999999997E-2</v>
          </cell>
          <cell r="P53">
            <v>9.9400000000000002E-2</v>
          </cell>
          <cell r="Q53">
            <v>9.9699999999999997E-2</v>
          </cell>
          <cell r="R53">
            <v>9.9599999999999994E-2</v>
          </cell>
          <cell r="S53">
            <v>0.1052</v>
          </cell>
          <cell r="T53">
            <v>0.10971</v>
          </cell>
          <cell r="U53">
            <v>0.10929999999999999</v>
          </cell>
          <cell r="V53">
            <v>0.11609999999999999</v>
          </cell>
          <cell r="W53">
            <v>0.122</v>
          </cell>
          <cell r="X53">
            <v>0.1249</v>
          </cell>
          <cell r="Y53">
            <v>0.12640000000000001</v>
          </cell>
          <cell r="Z53">
            <v>0.127</v>
          </cell>
          <cell r="AA53">
            <v>0.127</v>
          </cell>
          <cell r="AB53">
            <v>0.128</v>
          </cell>
          <cell r="AC53">
            <v>0.129</v>
          </cell>
          <cell r="AD53">
            <v>0.13</v>
          </cell>
          <cell r="AE53">
            <v>0.13200000000000001</v>
          </cell>
          <cell r="AF53">
            <v>0.13492000000000001</v>
          </cell>
          <cell r="AG53">
            <v>0.1368</v>
          </cell>
          <cell r="AH53">
            <v>0.13700000000000001</v>
          </cell>
          <cell r="AI53">
            <v>0.13900000000000001</v>
          </cell>
          <cell r="AJ53">
            <v>0.14099999999999999</v>
          </cell>
          <cell r="AK53">
            <v>0.14299999999999999</v>
          </cell>
          <cell r="AL53">
            <v>0.14410000000000001</v>
          </cell>
          <cell r="AM53">
            <v>0.14910000000000001</v>
          </cell>
          <cell r="AN53">
            <v>0.151</v>
          </cell>
          <cell r="AO53">
            <v>0.153</v>
          </cell>
          <cell r="AP53">
            <v>0.154</v>
          </cell>
          <cell r="AQ53">
            <v>0.155</v>
          </cell>
          <cell r="AR53">
            <v>0.158</v>
          </cell>
          <cell r="AS53">
            <v>0.159</v>
          </cell>
          <cell r="AT53">
            <v>0.161</v>
          </cell>
          <cell r="AU53">
            <v>0.16400000000000001</v>
          </cell>
          <cell r="AV53">
            <v>0.16700000000000001</v>
          </cell>
          <cell r="AW53">
            <v>0.16900000000000001</v>
          </cell>
          <cell r="AX53">
            <v>0.16900000000000001</v>
          </cell>
          <cell r="AY53">
            <v>0.1724</v>
          </cell>
          <cell r="AZ53">
            <v>0.1754</v>
          </cell>
          <cell r="BA53">
            <v>0.17910000000000001</v>
          </cell>
          <cell r="BB53">
            <v>0.182</v>
          </cell>
          <cell r="BC53">
            <v>0.18310000000000001</v>
          </cell>
          <cell r="BD53">
            <v>0.186</v>
          </cell>
          <cell r="BE53">
            <v>0.189</v>
          </cell>
          <cell r="BF53">
            <v>0.18940000000000001</v>
          </cell>
          <cell r="BG53">
            <v>0.18990000000000001</v>
          </cell>
          <cell r="BH53">
            <v>0.192</v>
          </cell>
          <cell r="BI53">
            <v>0.19400000000000001</v>
          </cell>
          <cell r="BJ53">
            <v>0.19500000000000001</v>
          </cell>
          <cell r="BK53">
            <v>0.19600000000000001</v>
          </cell>
          <cell r="BL53">
            <v>0.19667000000000001</v>
          </cell>
          <cell r="BM53">
            <v>0.19800000000000001</v>
          </cell>
          <cell r="BN53">
            <v>0.2</v>
          </cell>
          <cell r="BO53">
            <v>0.20300000000000001</v>
          </cell>
          <cell r="BP53">
            <v>0.20399999999999999</v>
          </cell>
          <cell r="BQ53">
            <v>0.20799999999999999</v>
          </cell>
          <cell r="BR53">
            <v>0.2072</v>
          </cell>
          <cell r="BS53">
            <v>0.20944299999999999</v>
          </cell>
          <cell r="BT53">
            <v>0.20949999999999999</v>
          </cell>
          <cell r="BU53">
            <v>0.21103</v>
          </cell>
          <cell r="BV53">
            <v>0.21103</v>
          </cell>
          <cell r="BW53">
            <v>0.21123</v>
          </cell>
          <cell r="BX53">
            <v>0.21167</v>
          </cell>
          <cell r="BY53">
            <v>0.21293999999999999</v>
          </cell>
          <cell r="BZ53">
            <v>0.21307000000000001</v>
          </cell>
          <cell r="CA53">
            <v>0.21357000000000001</v>
          </cell>
          <cell r="CB53">
            <v>0.21429999999999999</v>
          </cell>
          <cell r="CC53">
            <v>0.21407999999999999</v>
          </cell>
          <cell r="CD53">
            <v>0.213922</v>
          </cell>
          <cell r="CE53">
            <v>0.21487000000000001</v>
          </cell>
          <cell r="CF53">
            <v>0.21385999999999999</v>
          </cell>
          <cell r="CG53">
            <v>0.21423300000000001</v>
          </cell>
          <cell r="CH53">
            <v>0.21407000000000001</v>
          </cell>
          <cell r="CI53">
            <v>0.21493799999999999</v>
          </cell>
          <cell r="CJ53">
            <v>0.21445</v>
          </cell>
          <cell r="CK53">
            <v>0.21429000000000001</v>
          </cell>
          <cell r="CL53">
            <v>0.21439</v>
          </cell>
          <cell r="CM53">
            <v>0.21409</v>
          </cell>
          <cell r="CN53">
            <v>0.21454000000000001</v>
          </cell>
          <cell r="CO53">
            <v>0.21446000000000001</v>
          </cell>
          <cell r="CP53">
            <v>0.21440999999999999</v>
          </cell>
          <cell r="CQ53">
            <v>0.21423400000000001</v>
          </cell>
          <cell r="CR53">
            <v>0.21434420000000001</v>
          </cell>
          <cell r="CS53">
            <v>0.21423449999999999</v>
          </cell>
          <cell r="CT53">
            <v>0.21433442</v>
          </cell>
          <cell r="CU53">
            <v>0.21434510000000001</v>
          </cell>
          <cell r="CV53">
            <v>0.21445420000000001</v>
          </cell>
          <cell r="CW53">
            <v>0.21355440000000001</v>
          </cell>
          <cell r="CX53">
            <v>0.213895</v>
          </cell>
          <cell r="CY53">
            <v>0.2142</v>
          </cell>
        </row>
        <row r="55">
          <cell r="A55">
            <v>9.4100000000000003E-2</v>
          </cell>
          <cell r="B55">
            <v>9.5299999999999996E-2</v>
          </cell>
          <cell r="C55">
            <v>9.8799999999999999E-2</v>
          </cell>
          <cell r="D55">
            <v>9.8169999999999993E-2</v>
          </cell>
          <cell r="E55">
            <v>9.8210000000000006E-2</v>
          </cell>
          <cell r="F55">
            <v>9.8409999999999997E-2</v>
          </cell>
          <cell r="G55">
            <v>9.8419999999999994E-2</v>
          </cell>
          <cell r="H55">
            <v>9.894E-2</v>
          </cell>
          <cell r="I55">
            <v>9.8809999999999995E-2</v>
          </cell>
          <cell r="J55">
            <v>9.887E-2</v>
          </cell>
          <cell r="K55">
            <v>9.894E-2</v>
          </cell>
          <cell r="L55">
            <v>9.887E-2</v>
          </cell>
          <cell r="M55">
            <v>9.9000000000000005E-2</v>
          </cell>
          <cell r="N55">
            <v>0.1089</v>
          </cell>
          <cell r="O55">
            <v>0.10917</v>
          </cell>
          <cell r="P55">
            <v>0.10904</v>
          </cell>
          <cell r="Q55">
            <v>0.112</v>
          </cell>
          <cell r="R55">
            <v>0.11360000000000001</v>
          </cell>
          <cell r="S55">
            <v>0.1152</v>
          </cell>
          <cell r="T55">
            <v>0.1171</v>
          </cell>
          <cell r="U55">
            <v>0.1118</v>
          </cell>
          <cell r="V55">
            <v>0.11609999999999999</v>
          </cell>
          <cell r="W55">
            <v>0.11700000000000001</v>
          </cell>
          <cell r="X55">
            <v>0.11899999999999999</v>
          </cell>
          <cell r="Y55">
            <v>0.12</v>
          </cell>
          <cell r="Z55">
            <v>0.122</v>
          </cell>
          <cell r="AA55">
            <v>0.124</v>
          </cell>
          <cell r="AB55">
            <v>0.125</v>
          </cell>
          <cell r="AC55">
            <v>0.126</v>
          </cell>
          <cell r="AD55">
            <v>0.1265</v>
          </cell>
          <cell r="AE55">
            <v>0.12609999999999999</v>
          </cell>
          <cell r="AF55">
            <v>0.12720000000000001</v>
          </cell>
          <cell r="AG55">
            <v>0.128</v>
          </cell>
          <cell r="AH55">
            <v>0.128</v>
          </cell>
          <cell r="AI55">
            <v>0.12914999999999999</v>
          </cell>
          <cell r="AJ55">
            <v>0.12970000000000001</v>
          </cell>
          <cell r="AK55">
            <v>0.13014000000000001</v>
          </cell>
          <cell r="AL55">
            <v>0.13064100000000001</v>
          </cell>
          <cell r="AM55">
            <v>0.1321</v>
          </cell>
          <cell r="AN55">
            <v>0.13322329999999999</v>
          </cell>
          <cell r="AO55">
            <v>0.13395000000000001</v>
          </cell>
          <cell r="AP55">
            <v>0.13700000000000001</v>
          </cell>
          <cell r="AQ55">
            <v>0.13819999999999999</v>
          </cell>
          <cell r="AR55">
            <v>0.13924</v>
          </cell>
          <cell r="AS55">
            <v>0.13977999999999999</v>
          </cell>
          <cell r="AT55">
            <v>0.1409</v>
          </cell>
          <cell r="AU55">
            <v>0.14460000000000001</v>
          </cell>
          <cell r="AV55">
            <v>0.14449999999999999</v>
          </cell>
          <cell r="AW55">
            <v>0.1462</v>
          </cell>
          <cell r="AX55">
            <v>0.14630000000000001</v>
          </cell>
          <cell r="AY55">
            <v>0.14734</v>
          </cell>
          <cell r="AZ55">
            <v>0.1489</v>
          </cell>
          <cell r="BA55">
            <v>0.15129999999999999</v>
          </cell>
          <cell r="BB55">
            <v>0.15207799999999999</v>
          </cell>
          <cell r="BC55">
            <v>0.15310000000000001</v>
          </cell>
          <cell r="BD55">
            <v>0.15406</v>
          </cell>
          <cell r="BE55">
            <v>0.1552</v>
          </cell>
          <cell r="BF55">
            <v>0.15740999999999999</v>
          </cell>
          <cell r="BG55">
            <v>0.15970000000000001</v>
          </cell>
          <cell r="BH55">
            <v>0.16281999999999999</v>
          </cell>
          <cell r="BI55">
            <v>0.16344</v>
          </cell>
          <cell r="BJ55">
            <v>0.16500000000000001</v>
          </cell>
          <cell r="BK55">
            <v>0.16900000000000001</v>
          </cell>
          <cell r="BL55">
            <v>0.16600000000000001</v>
          </cell>
          <cell r="BM55">
            <v>0.16722500000000001</v>
          </cell>
          <cell r="BN55">
            <v>0.16700000000000001</v>
          </cell>
          <cell r="BO55">
            <v>0.16800000000000001</v>
          </cell>
          <cell r="BP55">
            <v>0.16900000000000001</v>
          </cell>
          <cell r="BQ55">
            <v>0.17</v>
          </cell>
          <cell r="BR55">
            <v>0.17199999999999999</v>
          </cell>
          <cell r="BS55">
            <v>0.17230000000000001</v>
          </cell>
          <cell r="BT55">
            <v>0.17299999999999999</v>
          </cell>
          <cell r="BU55">
            <v>0.17347000000000001</v>
          </cell>
          <cell r="BV55">
            <v>0.17533399999999999</v>
          </cell>
          <cell r="BW55">
            <v>0.17649000000000001</v>
          </cell>
          <cell r="BX55">
            <v>0.17799999999999999</v>
          </cell>
          <cell r="BY55">
            <v>0.17899999999999999</v>
          </cell>
          <cell r="BZ55">
            <v>0.17899999999999999</v>
          </cell>
          <cell r="CA55">
            <v>0.18110000000000001</v>
          </cell>
          <cell r="CB55">
            <v>0.18223</v>
          </cell>
          <cell r="CC55">
            <v>0.18407999999999999</v>
          </cell>
          <cell r="CD55">
            <v>0.18720000000000001</v>
          </cell>
          <cell r="CE55">
            <v>0.186</v>
          </cell>
          <cell r="CF55">
            <v>0.186</v>
          </cell>
          <cell r="CG55">
            <v>0.187</v>
          </cell>
          <cell r="CH55">
            <v>0.18407000000000001</v>
          </cell>
          <cell r="CI55">
            <v>0.18522</v>
          </cell>
          <cell r="CJ55">
            <v>0.18445</v>
          </cell>
          <cell r="CK55">
            <v>0.18542900000000001</v>
          </cell>
          <cell r="CL55">
            <v>0.18440000000000001</v>
          </cell>
          <cell r="CM55">
            <v>0.18490000000000001</v>
          </cell>
          <cell r="CN55">
            <v>0.18454000000000001</v>
          </cell>
          <cell r="CO55">
            <v>0.18446000000000001</v>
          </cell>
          <cell r="CP55">
            <v>0.18440999999999999</v>
          </cell>
          <cell r="CQ55">
            <v>0.182426</v>
          </cell>
          <cell r="CR55">
            <v>0.18421999999999999</v>
          </cell>
          <cell r="CS55">
            <v>0.1845</v>
          </cell>
          <cell r="CT55">
            <v>0.18442</v>
          </cell>
          <cell r="CU55">
            <v>0.18410000000000001</v>
          </cell>
          <cell r="CV55">
            <v>0.1842</v>
          </cell>
          <cell r="CW55">
            <v>0.18440000000000001</v>
          </cell>
          <cell r="CX55">
            <v>0.18340999999999999</v>
          </cell>
          <cell r="CY55">
            <v>0.18242</v>
          </cell>
        </row>
        <row r="57">
          <cell r="A57">
            <v>0</v>
          </cell>
          <cell r="B57">
            <v>80</v>
          </cell>
          <cell r="C57">
            <v>160</v>
          </cell>
          <cell r="D57">
            <v>310</v>
          </cell>
          <cell r="E57">
            <v>390</v>
          </cell>
          <cell r="F57">
            <v>470</v>
          </cell>
          <cell r="G57">
            <v>550</v>
          </cell>
          <cell r="H57">
            <v>630</v>
          </cell>
          <cell r="I57">
            <v>710</v>
          </cell>
          <cell r="J57">
            <v>790</v>
          </cell>
          <cell r="K57">
            <v>870</v>
          </cell>
          <cell r="L57">
            <v>950</v>
          </cell>
          <cell r="M57">
            <v>1030</v>
          </cell>
          <cell r="N57">
            <v>1110</v>
          </cell>
          <cell r="O57">
            <v>1190</v>
          </cell>
          <cell r="P57">
            <v>1270</v>
          </cell>
          <cell r="Q57">
            <v>1350</v>
          </cell>
          <cell r="R57">
            <v>1430</v>
          </cell>
          <cell r="S57">
            <v>1510</v>
          </cell>
          <cell r="T57">
            <v>1590</v>
          </cell>
          <cell r="U57">
            <v>1670</v>
          </cell>
          <cell r="V57">
            <v>1750</v>
          </cell>
          <cell r="W57">
            <v>1830</v>
          </cell>
          <cell r="X57">
            <v>1910</v>
          </cell>
          <cell r="Y57">
            <v>1990</v>
          </cell>
          <cell r="Z57">
            <v>2070</v>
          </cell>
          <cell r="AA57">
            <v>2150</v>
          </cell>
          <cell r="AB57">
            <v>2230</v>
          </cell>
          <cell r="AC57">
            <v>2310</v>
          </cell>
          <cell r="AD57">
            <v>2390</v>
          </cell>
          <cell r="AE57">
            <v>2470</v>
          </cell>
          <cell r="AF57">
            <v>2550</v>
          </cell>
          <cell r="AG57">
            <v>2630</v>
          </cell>
          <cell r="AH57">
            <v>2710</v>
          </cell>
          <cell r="AI57">
            <v>2790</v>
          </cell>
          <cell r="AJ57">
            <v>2870</v>
          </cell>
          <cell r="AK57">
            <v>2950</v>
          </cell>
          <cell r="AL57">
            <v>3030</v>
          </cell>
          <cell r="AM57">
            <v>3110</v>
          </cell>
          <cell r="AN57">
            <v>3190</v>
          </cell>
          <cell r="AO57">
            <v>3270</v>
          </cell>
          <cell r="AP57">
            <v>3350</v>
          </cell>
          <cell r="AQ57">
            <v>3430</v>
          </cell>
          <cell r="AR57">
            <v>3510</v>
          </cell>
          <cell r="AS57">
            <v>3590</v>
          </cell>
          <cell r="AT57">
            <v>3670</v>
          </cell>
          <cell r="AU57">
            <v>3750</v>
          </cell>
          <cell r="AV57">
            <v>3830</v>
          </cell>
          <cell r="AW57">
            <v>3910</v>
          </cell>
          <cell r="AX57">
            <v>3990</v>
          </cell>
          <cell r="AY57">
            <v>4070</v>
          </cell>
          <cell r="AZ57">
            <v>4150</v>
          </cell>
          <cell r="BA57">
            <v>4230</v>
          </cell>
          <cell r="BB57">
            <v>4310</v>
          </cell>
          <cell r="BC57">
            <v>4390</v>
          </cell>
          <cell r="BD57">
            <v>4470</v>
          </cell>
          <cell r="BE57">
            <v>4550</v>
          </cell>
          <cell r="BF57">
            <v>4630</v>
          </cell>
          <cell r="BG57">
            <v>4710</v>
          </cell>
          <cell r="BH57">
            <v>4790</v>
          </cell>
          <cell r="BI57">
            <v>4870</v>
          </cell>
          <cell r="BJ57">
            <v>4950</v>
          </cell>
          <cell r="BK57">
            <v>5030</v>
          </cell>
          <cell r="BL57">
            <v>5110</v>
          </cell>
          <cell r="BM57">
            <v>5230</v>
          </cell>
          <cell r="BN57">
            <v>5350</v>
          </cell>
          <cell r="BO57">
            <v>5470</v>
          </cell>
          <cell r="BP57">
            <v>5590</v>
          </cell>
          <cell r="BQ57">
            <v>5710</v>
          </cell>
          <cell r="BR57">
            <v>5830</v>
          </cell>
          <cell r="BS57">
            <v>5950</v>
          </cell>
          <cell r="BT57">
            <v>6070</v>
          </cell>
          <cell r="BU57">
            <v>6190</v>
          </cell>
          <cell r="BV57">
            <v>6310</v>
          </cell>
          <cell r="BW57">
            <v>6430</v>
          </cell>
          <cell r="BX57">
            <v>6550</v>
          </cell>
          <cell r="BY57">
            <v>6670</v>
          </cell>
          <cell r="BZ57">
            <v>6790</v>
          </cell>
          <cell r="CA57">
            <v>6910</v>
          </cell>
          <cell r="CB57">
            <v>7030</v>
          </cell>
          <cell r="CC57">
            <v>7150</v>
          </cell>
          <cell r="CD57">
            <v>7270</v>
          </cell>
          <cell r="CE57">
            <v>7390</v>
          </cell>
          <cell r="CF57">
            <v>7510</v>
          </cell>
          <cell r="CG57">
            <v>7630</v>
          </cell>
          <cell r="CH57">
            <v>7750</v>
          </cell>
          <cell r="CI57">
            <v>7870</v>
          </cell>
          <cell r="CJ57">
            <v>7990</v>
          </cell>
          <cell r="CK57">
            <v>8110</v>
          </cell>
          <cell r="CL57">
            <v>8230</v>
          </cell>
          <cell r="CM57">
            <v>8350</v>
          </cell>
          <cell r="CN57">
            <v>8470</v>
          </cell>
          <cell r="CO57">
            <v>8590</v>
          </cell>
          <cell r="CP57">
            <v>8710</v>
          </cell>
          <cell r="CQ57">
            <v>8830</v>
          </cell>
          <cell r="CR57">
            <v>8950</v>
          </cell>
          <cell r="CS57">
            <v>9070</v>
          </cell>
          <cell r="CT57">
            <v>9190</v>
          </cell>
          <cell r="CU57">
            <v>9310</v>
          </cell>
          <cell r="CV57">
            <v>9430</v>
          </cell>
          <cell r="CW57">
            <v>9550</v>
          </cell>
          <cell r="CX57">
            <v>9670</v>
          </cell>
          <cell r="CY57">
            <v>9790</v>
          </cell>
        </row>
        <row r="58">
          <cell r="A58">
            <v>8.5999999999999993E-2</v>
          </cell>
          <cell r="B58">
            <v>0.1055</v>
          </cell>
          <cell r="C58">
            <v>0.1075</v>
          </cell>
          <cell r="D58">
            <v>0.1053</v>
          </cell>
          <cell r="E58">
            <v>0.10879999999999999</v>
          </cell>
          <cell r="F58">
            <v>0.10970000000000001</v>
          </cell>
          <cell r="G58">
            <v>0.1089</v>
          </cell>
          <cell r="H58">
            <v>0.1118</v>
          </cell>
          <cell r="I58">
            <v>0.1108</v>
          </cell>
          <cell r="J58">
            <v>0.1085</v>
          </cell>
          <cell r="K58">
            <v>0.1111</v>
          </cell>
          <cell r="L58">
            <v>0.1118</v>
          </cell>
          <cell r="M58">
            <v>0.1124</v>
          </cell>
          <cell r="N58">
            <v>0.115</v>
          </cell>
          <cell r="O58">
            <v>0.11260000000000001</v>
          </cell>
          <cell r="P58">
            <v>0.11219999999999999</v>
          </cell>
          <cell r="Q58">
            <v>0.11260000000000001</v>
          </cell>
          <cell r="R58">
            <v>0.1144</v>
          </cell>
          <cell r="S58">
            <v>0.11559999999999999</v>
          </cell>
          <cell r="T58">
            <v>0.1163</v>
          </cell>
          <cell r="U58">
            <v>0.1196</v>
          </cell>
          <cell r="V58">
            <v>0.1179</v>
          </cell>
          <cell r="W58">
            <v>0.11799999999999999</v>
          </cell>
          <cell r="X58">
            <v>0.1201</v>
          </cell>
          <cell r="Y58">
            <v>0.1193</v>
          </cell>
          <cell r="Z58">
            <v>0.1215</v>
          </cell>
          <cell r="AA58">
            <v>0.1205</v>
          </cell>
          <cell r="AB58">
            <v>0.12640000000000001</v>
          </cell>
          <cell r="AC58">
            <v>0.1212</v>
          </cell>
          <cell r="AD58">
            <v>0.12230000000000001</v>
          </cell>
          <cell r="AE58">
            <v>0.1212</v>
          </cell>
          <cell r="AF58">
            <v>0.1216</v>
          </cell>
          <cell r="AG58">
            <v>0.1216</v>
          </cell>
          <cell r="AH58">
            <v>0.12230000000000001</v>
          </cell>
          <cell r="AI58">
            <v>0.1227</v>
          </cell>
          <cell r="AJ58">
            <v>0.1176</v>
          </cell>
          <cell r="AK58">
            <v>0.1236</v>
          </cell>
          <cell r="AL58">
            <v>0.12570000000000001</v>
          </cell>
          <cell r="AM58">
            <v>0.12640000000000001</v>
          </cell>
          <cell r="AN58">
            <v>0.12559999999999999</v>
          </cell>
          <cell r="AO58">
            <v>0.1244</v>
          </cell>
          <cell r="AP58">
            <v>0.124</v>
          </cell>
          <cell r="AQ58">
            <v>0.1265</v>
          </cell>
          <cell r="AR58">
            <v>0.12540000000000001</v>
          </cell>
          <cell r="AS58">
            <v>0.12740000000000001</v>
          </cell>
          <cell r="AT58">
            <v>0.13089999999999999</v>
          </cell>
          <cell r="AU58">
            <v>0.12659999999999999</v>
          </cell>
          <cell r="AV58">
            <v>0.13320000000000001</v>
          </cell>
          <cell r="AW58">
            <v>0.1288</v>
          </cell>
          <cell r="AX58">
            <v>0.1353</v>
          </cell>
          <cell r="AY58">
            <v>0.1265</v>
          </cell>
          <cell r="AZ58">
            <v>0.1293</v>
          </cell>
          <cell r="BA58">
            <v>0.1285</v>
          </cell>
          <cell r="BB58">
            <v>0.12939999999999999</v>
          </cell>
          <cell r="BC58">
            <v>0.13650000000000001</v>
          </cell>
          <cell r="BD58">
            <v>0.13389999999999999</v>
          </cell>
          <cell r="BE58">
            <v>0.128</v>
          </cell>
          <cell r="BF58">
            <v>0.13289999999999999</v>
          </cell>
          <cell r="BG58">
            <v>0.1363</v>
          </cell>
          <cell r="BH58">
            <v>0.13009999999999999</v>
          </cell>
          <cell r="BI58">
            <v>0.13109999999999999</v>
          </cell>
          <cell r="BJ58">
            <v>0.13450000000000001</v>
          </cell>
          <cell r="BK58">
            <v>0.1351</v>
          </cell>
          <cell r="BL58">
            <v>0.13089999999999999</v>
          </cell>
          <cell r="BM58">
            <v>0.1323</v>
          </cell>
          <cell r="BN58">
            <v>0.12909999999999999</v>
          </cell>
          <cell r="BO58">
            <v>0.1321</v>
          </cell>
          <cell r="BP58">
            <v>0.1351</v>
          </cell>
          <cell r="BQ58">
            <v>0.13719999999999999</v>
          </cell>
          <cell r="BR58">
            <v>0.1399</v>
          </cell>
          <cell r="BS58">
            <v>0.13550000000000001</v>
          </cell>
          <cell r="BT58">
            <v>0.1305</v>
          </cell>
          <cell r="BU58">
            <v>0.13109999999999999</v>
          </cell>
          <cell r="BV58">
            <v>0.13059999999999999</v>
          </cell>
          <cell r="BW58">
            <v>0.1295</v>
          </cell>
          <cell r="BX58">
            <v>0.13009999999999999</v>
          </cell>
          <cell r="BY58">
            <v>0.14099999999999999</v>
          </cell>
          <cell r="BZ58">
            <v>0.14099999999999999</v>
          </cell>
          <cell r="CA58">
            <v>0.13350000000000001</v>
          </cell>
          <cell r="CB58">
            <v>0.13539999999999999</v>
          </cell>
          <cell r="CC58">
            <v>0.13869999999999999</v>
          </cell>
          <cell r="CD58">
            <v>0.1389</v>
          </cell>
          <cell r="CE58">
            <v>0.1396</v>
          </cell>
          <cell r="CF58">
            <v>0.1326</v>
          </cell>
          <cell r="CG58">
            <v>0.13719999999999999</v>
          </cell>
          <cell r="CH58">
            <v>0.13800000000000001</v>
          </cell>
          <cell r="CI58">
            <v>0.13919999999999999</v>
          </cell>
          <cell r="CJ58">
            <v>0.1396</v>
          </cell>
          <cell r="CK58">
            <v>0.14080000000000001</v>
          </cell>
          <cell r="CL58">
            <v>0.1386</v>
          </cell>
          <cell r="CM58">
            <v>0.1381</v>
          </cell>
          <cell r="CN58">
            <v>0.13969999999999999</v>
          </cell>
          <cell r="CO58">
            <v>0.14099999999999999</v>
          </cell>
          <cell r="CP58">
            <v>0.13850000000000001</v>
          </cell>
          <cell r="CQ58">
            <v>0.1371</v>
          </cell>
          <cell r="CR58">
            <v>0.14000000000000001</v>
          </cell>
          <cell r="CS58">
            <v>0.1386</v>
          </cell>
          <cell r="CT58">
            <v>0.1416</v>
          </cell>
          <cell r="CU58">
            <v>0.14449999999999999</v>
          </cell>
          <cell r="CV58">
            <v>0.1376</v>
          </cell>
          <cell r="CW58">
            <v>0.13800000000000001</v>
          </cell>
          <cell r="CX58">
            <v>0.14119999999999999</v>
          </cell>
          <cell r="CY58">
            <v>0.14050000000000001</v>
          </cell>
        </row>
        <row r="59">
          <cell r="A59">
            <v>9.6000000000000002E-2</v>
          </cell>
          <cell r="B59">
            <v>9.9099999999999994E-2</v>
          </cell>
          <cell r="C59">
            <v>0.10349999999999999</v>
          </cell>
          <cell r="D59">
            <v>0.10009999999999999</v>
          </cell>
          <cell r="E59">
            <v>9.8900000000000002E-2</v>
          </cell>
          <cell r="F59">
            <v>0.1009</v>
          </cell>
          <cell r="G59">
            <v>0.1017</v>
          </cell>
          <cell r="H59">
            <v>0.107</v>
          </cell>
          <cell r="I59">
            <v>0.1033</v>
          </cell>
          <cell r="J59">
            <v>0.104</v>
          </cell>
          <cell r="K59">
            <v>0.1042</v>
          </cell>
          <cell r="L59">
            <v>0.1055</v>
          </cell>
          <cell r="M59">
            <v>0.1067</v>
          </cell>
          <cell r="N59">
            <v>0.10780000000000001</v>
          </cell>
          <cell r="O59">
            <v>0.1099</v>
          </cell>
          <cell r="P59">
            <v>0.10970000000000001</v>
          </cell>
          <cell r="Q59">
            <v>0.113</v>
          </cell>
          <cell r="R59">
            <v>0.11119999999999999</v>
          </cell>
          <cell r="S59">
            <v>0.1123</v>
          </cell>
          <cell r="T59">
            <v>0.11459999999999999</v>
          </cell>
          <cell r="U59">
            <v>0.1171</v>
          </cell>
          <cell r="V59">
            <v>0.1191</v>
          </cell>
          <cell r="W59">
            <v>0.1208</v>
          </cell>
          <cell r="X59">
            <v>0.12180000000000001</v>
          </cell>
          <cell r="Y59">
            <v>0.122</v>
          </cell>
          <cell r="Z59">
            <v>0.1235</v>
          </cell>
          <cell r="AA59">
            <v>0.1249</v>
          </cell>
          <cell r="AB59">
            <v>0.1326</v>
          </cell>
          <cell r="AC59">
            <v>0.12520000000000001</v>
          </cell>
          <cell r="AD59">
            <v>0.12770000000000001</v>
          </cell>
          <cell r="AE59">
            <v>0.1278</v>
          </cell>
          <cell r="AF59">
            <v>0.13109999999999999</v>
          </cell>
          <cell r="AG59">
            <v>0.1232</v>
          </cell>
          <cell r="AH59">
            <v>0.13289999999999999</v>
          </cell>
          <cell r="AI59">
            <v>0.13020000000000001</v>
          </cell>
          <cell r="AJ59">
            <v>0.13300000000000001</v>
          </cell>
          <cell r="AK59">
            <v>0.1341</v>
          </cell>
          <cell r="AL59">
            <v>0.13420000000000001</v>
          </cell>
          <cell r="AM59">
            <v>0.13600000000000001</v>
          </cell>
          <cell r="AN59">
            <v>0.13539999999999999</v>
          </cell>
          <cell r="AO59">
            <v>0.13639999999999999</v>
          </cell>
          <cell r="AP59">
            <v>0.13800000000000001</v>
          </cell>
          <cell r="AQ59">
            <v>0.1396</v>
          </cell>
          <cell r="AR59">
            <v>0.14130000000000001</v>
          </cell>
          <cell r="AS59">
            <v>0.14280000000000001</v>
          </cell>
          <cell r="AT59">
            <v>0.14799999999999999</v>
          </cell>
          <cell r="AU59">
            <v>0.14269999999999999</v>
          </cell>
          <cell r="AV59">
            <v>0.14849999999999999</v>
          </cell>
          <cell r="AW59">
            <v>0.14269999999999999</v>
          </cell>
          <cell r="AX59">
            <v>0.15010000000000001</v>
          </cell>
          <cell r="AY59">
            <v>0.14510000000000001</v>
          </cell>
          <cell r="AZ59">
            <v>0.14710000000000001</v>
          </cell>
          <cell r="BA59">
            <v>0.14630000000000001</v>
          </cell>
          <cell r="BB59">
            <v>0.14610000000000001</v>
          </cell>
          <cell r="BC59">
            <v>0.15379999999999999</v>
          </cell>
          <cell r="BD59">
            <v>0.14779999999999999</v>
          </cell>
          <cell r="BE59">
            <v>0.15110000000000001</v>
          </cell>
          <cell r="BF59">
            <v>0.152</v>
          </cell>
          <cell r="BG59">
            <v>0.15529999999999999</v>
          </cell>
          <cell r="BH59">
            <v>0.14940000000000001</v>
          </cell>
          <cell r="BI59">
            <v>0.1482</v>
          </cell>
          <cell r="BJ59">
            <v>0.1573</v>
          </cell>
          <cell r="BK59">
            <v>0.1565</v>
          </cell>
          <cell r="BL59">
            <v>0.15160000000000001</v>
          </cell>
          <cell r="BM59">
            <v>0.15260000000000001</v>
          </cell>
          <cell r="BN59">
            <v>0.15049999999999999</v>
          </cell>
          <cell r="BO59">
            <v>0.15229999999999999</v>
          </cell>
          <cell r="BP59">
            <v>0.15210000000000001</v>
          </cell>
          <cell r="BQ59">
            <v>0.15340000000000001</v>
          </cell>
          <cell r="BR59">
            <v>0.1623</v>
          </cell>
          <cell r="BS59">
            <v>0.15740000000000001</v>
          </cell>
          <cell r="BT59">
            <v>0.1575</v>
          </cell>
          <cell r="BU59">
            <v>0.15579999999999999</v>
          </cell>
          <cell r="BV59">
            <v>0.157</v>
          </cell>
          <cell r="BW59">
            <v>0.15670000000000001</v>
          </cell>
          <cell r="BX59">
            <v>0.1555</v>
          </cell>
          <cell r="BY59">
            <v>0.16750000000000001</v>
          </cell>
          <cell r="BZ59">
            <v>0.16420000000000001</v>
          </cell>
          <cell r="CA59">
            <v>0.1613</v>
          </cell>
          <cell r="CB59">
            <v>0.16259999999999999</v>
          </cell>
          <cell r="CC59">
            <v>0.16539999999999999</v>
          </cell>
          <cell r="CD59">
            <v>0.16470000000000001</v>
          </cell>
          <cell r="CE59">
            <v>0.16539999999999999</v>
          </cell>
          <cell r="CF59">
            <v>0.15629999999999999</v>
          </cell>
          <cell r="CG59">
            <v>0.16450000000000001</v>
          </cell>
          <cell r="CH59">
            <v>0.1661</v>
          </cell>
          <cell r="CI59">
            <v>0.1661</v>
          </cell>
          <cell r="CJ59">
            <v>0.1694</v>
          </cell>
          <cell r="CK59">
            <v>0.17019999999999999</v>
          </cell>
          <cell r="CL59">
            <v>0.1691</v>
          </cell>
          <cell r="CM59">
            <v>0.16639999999999999</v>
          </cell>
          <cell r="CN59">
            <v>0.1681</v>
          </cell>
          <cell r="CO59">
            <v>0.1681</v>
          </cell>
          <cell r="CP59">
            <v>0.16769999999999999</v>
          </cell>
          <cell r="CQ59">
            <v>0.16800000000000001</v>
          </cell>
          <cell r="CR59">
            <v>0.1709</v>
          </cell>
          <cell r="CS59">
            <v>0.1686</v>
          </cell>
          <cell r="CT59">
            <v>0.17150000000000001</v>
          </cell>
          <cell r="CU59">
            <v>0.1719</v>
          </cell>
          <cell r="CV59">
            <v>0.16700000000000001</v>
          </cell>
          <cell r="CW59">
            <v>0.17</v>
          </cell>
          <cell r="CX59">
            <v>0.17249999999999999</v>
          </cell>
          <cell r="CY59">
            <v>0.17330000000000001</v>
          </cell>
        </row>
        <row r="60">
          <cell r="A60">
            <v>8.4099999999999994E-2</v>
          </cell>
          <cell r="B60">
            <v>8.5300000000000001E-2</v>
          </cell>
          <cell r="C60">
            <v>8.1799999999999998E-2</v>
          </cell>
          <cell r="D60">
            <v>8.1699999999999995E-2</v>
          </cell>
          <cell r="E60">
            <v>8.2100000000000006E-2</v>
          </cell>
          <cell r="F60">
            <v>8.4099999999999994E-2</v>
          </cell>
          <cell r="G60">
            <v>8.4199999999999997E-2</v>
          </cell>
          <cell r="H60">
            <v>8.9399999999999993E-2</v>
          </cell>
          <cell r="I60">
            <v>8.8099999999999998E-2</v>
          </cell>
          <cell r="J60">
            <v>8.8700000000000001E-2</v>
          </cell>
          <cell r="K60">
            <v>8.9399999999999993E-2</v>
          </cell>
          <cell r="L60">
            <v>8.8700000000000001E-2</v>
          </cell>
          <cell r="M60">
            <v>8.9499999999999996E-2</v>
          </cell>
          <cell r="N60">
            <v>8.8999999999999996E-2</v>
          </cell>
          <cell r="O60">
            <v>9.1700000000000004E-2</v>
          </cell>
          <cell r="P60">
            <v>9.0399999999999994E-2</v>
          </cell>
          <cell r="Q60">
            <v>9.1700000000000004E-2</v>
          </cell>
          <cell r="R60">
            <v>9.3600000000000003E-2</v>
          </cell>
          <cell r="S60">
            <v>9.5200000000000007E-2</v>
          </cell>
          <cell r="T60">
            <v>9.7100000000000006E-2</v>
          </cell>
          <cell r="U60">
            <v>0.1033</v>
          </cell>
          <cell r="V60">
            <v>0.1061</v>
          </cell>
          <cell r="W60">
            <v>0.11119999999999999</v>
          </cell>
          <cell r="X60">
            <v>0.1149</v>
          </cell>
          <cell r="Y60">
            <v>0.1164</v>
          </cell>
          <cell r="Z60">
            <v>0.12130000000000001</v>
          </cell>
          <cell r="AA60">
            <v>0.12640000000000001</v>
          </cell>
          <cell r="AB60">
            <v>0.13320000000000001</v>
          </cell>
          <cell r="AC60">
            <v>0.1313</v>
          </cell>
          <cell r="AD60">
            <v>0.1406</v>
          </cell>
          <cell r="AE60">
            <v>0.1459</v>
          </cell>
          <cell r="AF60">
            <v>0.1492</v>
          </cell>
          <cell r="AG60">
            <v>0.14680000000000001</v>
          </cell>
          <cell r="AH60">
            <v>0.14899999999999999</v>
          </cell>
          <cell r="AI60">
            <v>0.1515</v>
          </cell>
          <cell r="AJ60">
            <v>0.15670000000000001</v>
          </cell>
          <cell r="AK60">
            <v>0.16139999999999999</v>
          </cell>
          <cell r="AL60">
            <v>0.1641</v>
          </cell>
          <cell r="AM60">
            <v>0.1691</v>
          </cell>
          <cell r="AN60">
            <v>0.1734</v>
          </cell>
          <cell r="AO60">
            <v>0.17499999999999999</v>
          </cell>
          <cell r="AP60">
            <v>0.17699999999999999</v>
          </cell>
          <cell r="AQ60">
            <v>0.1812</v>
          </cell>
          <cell r="AR60">
            <v>0.18240000000000001</v>
          </cell>
          <cell r="AS60">
            <v>0.18779999999999999</v>
          </cell>
          <cell r="AT60">
            <v>0.19589999999999999</v>
          </cell>
          <cell r="AU60">
            <v>0.1946</v>
          </cell>
          <cell r="AV60">
            <v>0.20050000000000001</v>
          </cell>
          <cell r="AW60">
            <v>0.19620000000000001</v>
          </cell>
          <cell r="AX60">
            <v>0.20630000000000001</v>
          </cell>
          <cell r="AY60">
            <v>0.2034</v>
          </cell>
          <cell r="AZ60">
            <v>0.2054</v>
          </cell>
          <cell r="BA60">
            <v>0.20630000000000001</v>
          </cell>
          <cell r="BB60">
            <v>0.20780000000000001</v>
          </cell>
          <cell r="BC60">
            <v>0.21310000000000001</v>
          </cell>
          <cell r="BD60">
            <v>0.21060000000000001</v>
          </cell>
          <cell r="BE60">
            <v>0.2122</v>
          </cell>
          <cell r="BF60">
            <v>0.21410000000000001</v>
          </cell>
          <cell r="BG60">
            <v>0.22370000000000001</v>
          </cell>
          <cell r="BH60">
            <v>0.21820000000000001</v>
          </cell>
          <cell r="BI60">
            <v>0.21940000000000001</v>
          </cell>
          <cell r="BJ60">
            <v>0.2205</v>
          </cell>
          <cell r="BK60">
            <v>0.22700000000000001</v>
          </cell>
          <cell r="BL60">
            <v>0.22040000000000001</v>
          </cell>
          <cell r="BM60">
            <v>0.2225</v>
          </cell>
          <cell r="BN60">
            <v>0.22459999999999999</v>
          </cell>
          <cell r="BO60">
            <v>0.22500000000000001</v>
          </cell>
          <cell r="BP60">
            <v>0.22559999999999999</v>
          </cell>
          <cell r="BQ60">
            <v>0.2276</v>
          </cell>
          <cell r="BR60">
            <v>0.23719999999999999</v>
          </cell>
          <cell r="BS60">
            <v>0.23039999999999999</v>
          </cell>
          <cell r="BT60">
            <v>0.22950000000000001</v>
          </cell>
          <cell r="BU60">
            <v>0.23469999999999999</v>
          </cell>
          <cell r="BV60">
            <v>0.2334</v>
          </cell>
          <cell r="BW60">
            <v>0.2349</v>
          </cell>
          <cell r="BX60">
            <v>0.23669999999999999</v>
          </cell>
          <cell r="BY60">
            <v>0.2394</v>
          </cell>
          <cell r="BZ60">
            <v>0.2397</v>
          </cell>
          <cell r="CA60">
            <v>0.23569999999999999</v>
          </cell>
          <cell r="CB60">
            <v>0.24299999999999999</v>
          </cell>
          <cell r="CC60">
            <v>0.24079999999999999</v>
          </cell>
          <cell r="CD60">
            <v>0.2422</v>
          </cell>
          <cell r="CE60">
            <v>0.2487</v>
          </cell>
          <cell r="CF60">
            <v>0.23860000000000001</v>
          </cell>
          <cell r="CG60">
            <v>0.2409</v>
          </cell>
          <cell r="CH60">
            <v>0.2407</v>
          </cell>
          <cell r="CI60">
            <v>0.2414</v>
          </cell>
          <cell r="CJ60">
            <v>0.2445</v>
          </cell>
          <cell r="CK60">
            <v>0.2429</v>
          </cell>
          <cell r="CL60">
            <v>0.24390000000000001</v>
          </cell>
          <cell r="CM60">
            <v>0.2409</v>
          </cell>
          <cell r="CN60">
            <v>0.24540000000000001</v>
          </cell>
          <cell r="CO60">
            <v>0.24460000000000001</v>
          </cell>
          <cell r="CP60">
            <v>0.24410000000000001</v>
          </cell>
          <cell r="CQ60">
            <v>0.24260000000000001</v>
          </cell>
          <cell r="CR60">
            <v>0.2422</v>
          </cell>
          <cell r="CS60">
            <v>0.245</v>
          </cell>
          <cell r="CT60">
            <v>0.2442</v>
          </cell>
          <cell r="CU60">
            <v>0.24099999999999999</v>
          </cell>
          <cell r="CV60">
            <v>0.24199999999999999</v>
          </cell>
          <cell r="CW60">
            <v>0.24399999999999999</v>
          </cell>
          <cell r="CX60">
            <v>0.24099999999999999</v>
          </cell>
          <cell r="CY60">
            <v>0.24199999999999999</v>
          </cell>
        </row>
        <row r="61">
          <cell r="A61">
            <v>8.5999999999999993E-2</v>
          </cell>
          <cell r="B61">
            <v>8.7099999999999997E-2</v>
          </cell>
          <cell r="C61">
            <v>8.7349999999999997E-2</v>
          </cell>
          <cell r="D61">
            <v>8.9099999999999999E-2</v>
          </cell>
          <cell r="E61">
            <v>8.9889999999999998E-2</v>
          </cell>
          <cell r="F61">
            <v>8.9509000000000005E-2</v>
          </cell>
          <cell r="G61">
            <v>9.1316999999999995E-2</v>
          </cell>
          <cell r="H61">
            <v>9.1700000000000004E-2</v>
          </cell>
          <cell r="I61">
            <v>9.2329999999999995E-2</v>
          </cell>
          <cell r="J61">
            <v>9.2499999999999999E-2</v>
          </cell>
          <cell r="K61">
            <v>9.6420000000000006E-2</v>
          </cell>
          <cell r="L61">
            <v>9.7500000000000003E-2</v>
          </cell>
          <cell r="M61">
            <v>9.6699999999999994E-2</v>
          </cell>
          <cell r="N61">
            <v>9.8000000000000004E-2</v>
          </cell>
          <cell r="O61">
            <v>0.10100000000000001</v>
          </cell>
          <cell r="P61">
            <v>0.10299999999999999</v>
          </cell>
          <cell r="Q61">
            <v>0.10299999999999999</v>
          </cell>
          <cell r="R61">
            <v>0.1012</v>
          </cell>
          <cell r="S61">
            <v>0.106</v>
          </cell>
          <cell r="T61">
            <v>0.1086</v>
          </cell>
          <cell r="U61">
            <v>0.1071</v>
          </cell>
          <cell r="V61">
            <v>0.11</v>
          </cell>
          <cell r="W61">
            <v>0.1148</v>
          </cell>
          <cell r="X61">
            <v>0.11799999999999999</v>
          </cell>
          <cell r="Y61">
            <v>0.1192</v>
          </cell>
          <cell r="Z61">
            <v>0.12</v>
          </cell>
          <cell r="AA61">
            <v>0.121</v>
          </cell>
          <cell r="AB61">
            <v>0.1239</v>
          </cell>
          <cell r="AC61">
            <v>0.12520000000000001</v>
          </cell>
          <cell r="AD61">
            <v>0.13100000000000001</v>
          </cell>
          <cell r="AE61">
            <v>0.13700000000000001</v>
          </cell>
          <cell r="AF61">
            <v>0.13800000000000001</v>
          </cell>
          <cell r="AG61">
            <v>0.13900000000000001</v>
          </cell>
          <cell r="AH61">
            <v>0.14000000000000001</v>
          </cell>
          <cell r="AI61">
            <v>0.14099999999999999</v>
          </cell>
          <cell r="AJ61">
            <v>0.14299999999999999</v>
          </cell>
          <cell r="AK61">
            <v>0.14410000000000001</v>
          </cell>
          <cell r="AL61">
            <v>0.14799999999999999</v>
          </cell>
          <cell r="AM61">
            <v>0.14899999999999999</v>
          </cell>
          <cell r="AN61">
            <v>0.15</v>
          </cell>
          <cell r="AO61">
            <v>0.152</v>
          </cell>
          <cell r="AP61">
            <v>0.15379999999999999</v>
          </cell>
          <cell r="AQ61">
            <v>0.15495999999999999</v>
          </cell>
          <cell r="AR61">
            <v>0.15712999999999999</v>
          </cell>
          <cell r="AS61">
            <v>0.158</v>
          </cell>
          <cell r="AT61">
            <v>0.1598</v>
          </cell>
          <cell r="AU61">
            <v>0.16370000000000001</v>
          </cell>
          <cell r="AV61">
            <v>0.16850000000000001</v>
          </cell>
          <cell r="AW61">
            <v>0.16769999999999999</v>
          </cell>
          <cell r="AX61">
            <v>0.17</v>
          </cell>
          <cell r="AY61">
            <v>0.1731</v>
          </cell>
          <cell r="AZ61">
            <v>0.17471</v>
          </cell>
          <cell r="BA61">
            <v>0.17630000000000001</v>
          </cell>
          <cell r="BB61">
            <v>0.17810000000000001</v>
          </cell>
          <cell r="BC61">
            <v>0.18</v>
          </cell>
          <cell r="BD61">
            <v>0.18099999999999999</v>
          </cell>
          <cell r="BE61">
            <v>0.185</v>
          </cell>
          <cell r="BF61">
            <v>0.187</v>
          </cell>
          <cell r="BG61">
            <v>0.189</v>
          </cell>
          <cell r="BH61">
            <v>0.191</v>
          </cell>
          <cell r="BI61">
            <v>0.192</v>
          </cell>
          <cell r="BJ61">
            <v>0.1923</v>
          </cell>
          <cell r="BK61">
            <v>0.19350000000000001</v>
          </cell>
          <cell r="BL61">
            <v>0.19516</v>
          </cell>
          <cell r="BM61">
            <v>0.19525999999999999</v>
          </cell>
          <cell r="BN61">
            <v>0.19605</v>
          </cell>
          <cell r="BO61">
            <v>0.19522999999999999</v>
          </cell>
          <cell r="BP61">
            <v>0.19621</v>
          </cell>
          <cell r="BQ61">
            <v>0.19633999999999999</v>
          </cell>
          <cell r="BR61">
            <v>0.19722999999999999</v>
          </cell>
          <cell r="BS61">
            <v>0.19739999999999999</v>
          </cell>
          <cell r="BT61">
            <v>0.19750000000000001</v>
          </cell>
          <cell r="BU61">
            <v>0.19900000000000001</v>
          </cell>
          <cell r="BV61">
            <v>0.19900000000000001</v>
          </cell>
          <cell r="BW61">
            <v>0.2</v>
          </cell>
          <cell r="BX61">
            <v>0.20555000000000001</v>
          </cell>
          <cell r="BY61">
            <v>0.20150000000000001</v>
          </cell>
          <cell r="BZ61">
            <v>0.20419999999999999</v>
          </cell>
          <cell r="CA61">
            <v>0.20300000000000001</v>
          </cell>
          <cell r="CB61">
            <v>0.2026</v>
          </cell>
          <cell r="CC61">
            <v>0.2054</v>
          </cell>
          <cell r="CD61">
            <v>0.20699999999999999</v>
          </cell>
          <cell r="CE61">
            <v>0.20399999999999999</v>
          </cell>
          <cell r="CF61">
            <v>0.20830000000000001</v>
          </cell>
          <cell r="CG61">
            <v>0.20949999999999999</v>
          </cell>
          <cell r="CH61">
            <v>0.20910000000000001</v>
          </cell>
          <cell r="CI61">
            <v>0.20910000000000001</v>
          </cell>
          <cell r="CJ61">
            <v>0.2094</v>
          </cell>
          <cell r="CK61">
            <v>0.21</v>
          </cell>
          <cell r="CL61">
            <v>0.21010000000000001</v>
          </cell>
          <cell r="CM61">
            <v>0.21163999999999999</v>
          </cell>
          <cell r="CN61">
            <v>0.21099999999999999</v>
          </cell>
          <cell r="CO61">
            <v>0.21210000000000001</v>
          </cell>
          <cell r="CP61">
            <v>0.2127</v>
          </cell>
          <cell r="CQ61">
            <v>0.21579999999999999</v>
          </cell>
          <cell r="CR61">
            <v>0.21409</v>
          </cell>
          <cell r="CS61">
            <v>0.21686</v>
          </cell>
          <cell r="CT61">
            <v>0.21715000000000001</v>
          </cell>
          <cell r="CU61">
            <v>0.21718999999999999</v>
          </cell>
          <cell r="CV61">
            <v>0.2167</v>
          </cell>
          <cell r="CW61">
            <v>0.217</v>
          </cell>
          <cell r="CX61">
            <v>0.21725</v>
          </cell>
          <cell r="CY61">
            <v>0.21733</v>
          </cell>
        </row>
        <row r="62">
          <cell r="A62">
            <v>8.6999999999999994E-2</v>
          </cell>
          <cell r="B62">
            <v>8.8099999999999998E-2</v>
          </cell>
          <cell r="C62">
            <v>8.8349999999999998E-2</v>
          </cell>
          <cell r="D62">
            <v>9.0999999999999998E-2</v>
          </cell>
          <cell r="E62">
            <v>9.1300000000000006E-2</v>
          </cell>
          <cell r="F62">
            <v>9.1508999999999993E-2</v>
          </cell>
          <cell r="G62">
            <v>9.1700000000000004E-2</v>
          </cell>
          <cell r="H62">
            <v>9.2399999999999996E-2</v>
          </cell>
          <cell r="I62">
            <v>9.2700000000000005E-2</v>
          </cell>
          <cell r="J62">
            <v>9.3399999999999997E-2</v>
          </cell>
          <cell r="K62">
            <v>9.9000000000000005E-2</v>
          </cell>
          <cell r="L62">
            <v>0.105</v>
          </cell>
          <cell r="M62">
            <v>0.1067</v>
          </cell>
          <cell r="N62">
            <v>0.108</v>
          </cell>
          <cell r="O62">
            <v>0.11</v>
          </cell>
          <cell r="P62">
            <v>0.113</v>
          </cell>
          <cell r="Q62">
            <v>0.113</v>
          </cell>
          <cell r="R62">
            <v>0.1142</v>
          </cell>
          <cell r="S62">
            <v>0.11559999999999999</v>
          </cell>
          <cell r="T62">
            <v>0.11700000000000001</v>
          </cell>
          <cell r="U62">
            <v>0.1181</v>
          </cell>
          <cell r="V62">
            <v>0.11899999999999999</v>
          </cell>
          <cell r="W62">
            <v>0.12180000000000001</v>
          </cell>
          <cell r="X62">
            <v>0.12379999999999999</v>
          </cell>
          <cell r="Y62">
            <v>0.1242</v>
          </cell>
          <cell r="Z62">
            <v>0.126</v>
          </cell>
          <cell r="AA62">
            <v>0.127</v>
          </cell>
          <cell r="AB62">
            <v>0.128</v>
          </cell>
          <cell r="AC62">
            <v>0.129</v>
          </cell>
          <cell r="AD62">
            <v>0.13400000000000001</v>
          </cell>
          <cell r="AE62">
            <v>0.13900000000000001</v>
          </cell>
          <cell r="AF62">
            <v>0.14000000000000001</v>
          </cell>
          <cell r="AG62">
            <v>0.1439</v>
          </cell>
          <cell r="AH62">
            <v>0.14399999999999999</v>
          </cell>
          <cell r="AI62">
            <v>0.14599999999999999</v>
          </cell>
          <cell r="AJ62">
            <v>0.14799999999999999</v>
          </cell>
          <cell r="AK62">
            <v>0.15</v>
          </cell>
          <cell r="AL62">
            <v>0.15229999999999999</v>
          </cell>
          <cell r="AM62">
            <v>0.15240000000000001</v>
          </cell>
          <cell r="AN62">
            <v>0.15409999999999999</v>
          </cell>
          <cell r="AO62">
            <v>0.158</v>
          </cell>
          <cell r="AP62">
            <v>0.1638</v>
          </cell>
          <cell r="AQ62">
            <v>0.16600000000000001</v>
          </cell>
          <cell r="AR62">
            <v>0.16713</v>
          </cell>
          <cell r="AS62">
            <v>0.17100000000000001</v>
          </cell>
          <cell r="AT62">
            <v>0.17280000000000001</v>
          </cell>
          <cell r="AU62">
            <v>0.17369999999999999</v>
          </cell>
          <cell r="AV62">
            <v>0.17799999999999999</v>
          </cell>
          <cell r="AW62">
            <v>0.18</v>
          </cell>
          <cell r="AX62">
            <v>0.184</v>
          </cell>
          <cell r="AY62">
            <v>0.186</v>
          </cell>
          <cell r="AZ62">
            <v>0.18709999999999999</v>
          </cell>
          <cell r="BA62">
            <v>0.18976299999999999</v>
          </cell>
          <cell r="BB62">
            <v>0.19209999999999999</v>
          </cell>
          <cell r="BC62">
            <v>0.19400000000000001</v>
          </cell>
          <cell r="BD62">
            <v>0.19481000000000001</v>
          </cell>
          <cell r="BE62">
            <v>0.19850000000000001</v>
          </cell>
          <cell r="BF62">
            <v>0.19869999999999999</v>
          </cell>
          <cell r="BG62">
            <v>0.19889999999999999</v>
          </cell>
          <cell r="BH62">
            <v>0.2031</v>
          </cell>
          <cell r="BI62">
            <v>0.20499999999999999</v>
          </cell>
          <cell r="BJ62">
            <v>0.20699999999999999</v>
          </cell>
          <cell r="BK62">
            <v>0.20799999999999999</v>
          </cell>
          <cell r="BL62">
            <v>0.20899999999999999</v>
          </cell>
          <cell r="BM62">
            <v>0.21</v>
          </cell>
          <cell r="BN62">
            <v>0.21299999999999999</v>
          </cell>
          <cell r="BO62">
            <v>0.21523</v>
          </cell>
          <cell r="BP62">
            <v>0.21621000000000001</v>
          </cell>
          <cell r="BQ62">
            <v>0.21634</v>
          </cell>
          <cell r="BR62">
            <v>0.21729999999999999</v>
          </cell>
          <cell r="BS62">
            <v>0.21740000000000001</v>
          </cell>
          <cell r="BT62">
            <v>0.2175</v>
          </cell>
          <cell r="BU62">
            <v>0.21990000000000001</v>
          </cell>
          <cell r="BV62">
            <v>0.21990000000000001</v>
          </cell>
          <cell r="BW62">
            <v>0.22</v>
          </cell>
          <cell r="BX62">
            <v>0.221555</v>
          </cell>
          <cell r="BY62">
            <v>0.2215</v>
          </cell>
          <cell r="BZ62">
            <v>0.22242000000000001</v>
          </cell>
          <cell r="CA62">
            <v>0.2223</v>
          </cell>
          <cell r="CB62">
            <v>0.22259999999999999</v>
          </cell>
          <cell r="CC62">
            <v>0.22239999999999999</v>
          </cell>
          <cell r="CD62">
            <v>0.22700000000000001</v>
          </cell>
          <cell r="CE62">
            <v>0.22234000000000001</v>
          </cell>
          <cell r="CF62">
            <v>0.22283</v>
          </cell>
          <cell r="CG62">
            <v>0.22800000000000001</v>
          </cell>
          <cell r="CH62">
            <v>0.23</v>
          </cell>
          <cell r="CI62">
            <v>0.22900000000000001</v>
          </cell>
          <cell r="CJ62">
            <v>0.23200000000000001</v>
          </cell>
          <cell r="CK62">
            <v>0.23100000000000001</v>
          </cell>
          <cell r="CL62">
            <v>0.23100999999999999</v>
          </cell>
          <cell r="CM62">
            <v>0.23116400000000001</v>
          </cell>
          <cell r="CN62">
            <v>0.2311</v>
          </cell>
          <cell r="CO62">
            <v>0.2321</v>
          </cell>
          <cell r="CP62">
            <v>0.23269999999999999</v>
          </cell>
          <cell r="CQ62">
            <v>0.23358000000000001</v>
          </cell>
          <cell r="CR62">
            <v>0.23214090000000001</v>
          </cell>
          <cell r="CS62">
            <v>0.231686</v>
          </cell>
          <cell r="CT62">
            <v>0.232015</v>
          </cell>
          <cell r="CU62">
            <v>0.2329</v>
          </cell>
          <cell r="CV62">
            <v>0.23200000000000001</v>
          </cell>
          <cell r="CW62">
            <v>0.23169999999999999</v>
          </cell>
          <cell r="CX62">
            <v>0.23250000000000001</v>
          </cell>
          <cell r="CY62">
            <v>0.23300000000000001</v>
          </cell>
        </row>
        <row r="65">
          <cell r="A65">
            <v>8.8200000000000001E-2</v>
          </cell>
          <cell r="B65">
            <v>8.8230000000000003E-2</v>
          </cell>
          <cell r="C65">
            <v>8.8999999999999996E-2</v>
          </cell>
          <cell r="D65">
            <v>0.09</v>
          </cell>
          <cell r="E65">
            <v>9.0200000000000002E-2</v>
          </cell>
          <cell r="F65">
            <v>9.1200000000000003E-2</v>
          </cell>
          <cell r="G65">
            <v>9.1399999999999995E-2</v>
          </cell>
          <cell r="H65">
            <v>9.1499999999999998E-2</v>
          </cell>
          <cell r="I65">
            <v>9.1800000000000007E-2</v>
          </cell>
          <cell r="J65">
            <v>8.8999999999999996E-2</v>
          </cell>
          <cell r="K65">
            <v>8.9399999999999993E-2</v>
          </cell>
          <cell r="L65">
            <v>8.8700000000000001E-2</v>
          </cell>
          <cell r="M65">
            <v>9.1200000000000003E-2</v>
          </cell>
          <cell r="N65">
            <v>8.8999999999999996E-2</v>
          </cell>
          <cell r="O65">
            <v>9.1700000000000004E-2</v>
          </cell>
          <cell r="P65">
            <v>9.2999999999999999E-2</v>
          </cell>
          <cell r="Q65">
            <v>9.5000000000000001E-2</v>
          </cell>
          <cell r="R65">
            <v>9.3600000000000003E-2</v>
          </cell>
          <cell r="S65">
            <v>9.7000000000000003E-2</v>
          </cell>
          <cell r="T65">
            <v>9.9000000000000005E-2</v>
          </cell>
          <cell r="U65">
            <v>0.10100000000000001</v>
          </cell>
          <cell r="V65">
            <v>0.109</v>
          </cell>
          <cell r="W65">
            <v>0.114</v>
          </cell>
          <cell r="X65">
            <v>0.1149</v>
          </cell>
          <cell r="Y65">
            <v>0.11799999999999999</v>
          </cell>
          <cell r="Z65">
            <v>0.123</v>
          </cell>
          <cell r="AA65">
            <v>0.129</v>
          </cell>
          <cell r="AB65">
            <v>0.13700000000000001</v>
          </cell>
          <cell r="AC65">
            <v>0.13800000000000001</v>
          </cell>
          <cell r="AD65">
            <v>0.151</v>
          </cell>
          <cell r="AE65">
            <v>0.156</v>
          </cell>
          <cell r="AF65">
            <v>0.161</v>
          </cell>
          <cell r="AG65">
            <v>0.161</v>
          </cell>
          <cell r="AH65">
            <v>0.16500000000000001</v>
          </cell>
          <cell r="AI65">
            <v>0.16500000000000001</v>
          </cell>
          <cell r="AJ65">
            <v>0.17299999999999999</v>
          </cell>
          <cell r="AK65">
            <v>0.17399999999999999</v>
          </cell>
          <cell r="AL65">
            <v>0.17499999999999999</v>
          </cell>
          <cell r="AM65">
            <v>0.18</v>
          </cell>
          <cell r="AN65">
            <v>0.18099999999999999</v>
          </cell>
          <cell r="AO65">
            <v>0.193</v>
          </cell>
          <cell r="AP65">
            <v>0.191</v>
          </cell>
          <cell r="AQ65">
            <v>0.193</v>
          </cell>
          <cell r="AR65">
            <v>0.19239999999999999</v>
          </cell>
          <cell r="AS65">
            <v>0.19800000000000001</v>
          </cell>
          <cell r="AT65">
            <v>0.2</v>
          </cell>
          <cell r="AU65">
            <v>0.2112</v>
          </cell>
          <cell r="AV65">
            <v>0.2145</v>
          </cell>
          <cell r="AW65">
            <v>0.21</v>
          </cell>
          <cell r="AX65">
            <v>0.21199999999999999</v>
          </cell>
          <cell r="AY65">
            <v>0.216</v>
          </cell>
          <cell r="AZ65">
            <v>0.218</v>
          </cell>
          <cell r="BA65">
            <v>0.219</v>
          </cell>
          <cell r="BB65">
            <v>0.22</v>
          </cell>
          <cell r="BC65">
            <v>0.223</v>
          </cell>
          <cell r="BD65">
            <v>0.23</v>
          </cell>
          <cell r="BE65">
            <v>0.23200000000000001</v>
          </cell>
          <cell r="BF65">
            <v>0.23400000000000001</v>
          </cell>
          <cell r="BG65">
            <v>0.23699999999999999</v>
          </cell>
          <cell r="BH65">
            <v>0.2382</v>
          </cell>
          <cell r="BI65">
            <v>0.2394</v>
          </cell>
          <cell r="BJ65">
            <v>0.24204999999999999</v>
          </cell>
          <cell r="BK65">
            <v>0.24299999999999999</v>
          </cell>
          <cell r="BL65">
            <v>0.24299999999999999</v>
          </cell>
          <cell r="BM65">
            <v>0.24249999999999999</v>
          </cell>
          <cell r="BN65">
            <v>0.24460000000000001</v>
          </cell>
          <cell r="BO65">
            <v>0.245</v>
          </cell>
          <cell r="BP65">
            <v>0.24560000000000001</v>
          </cell>
          <cell r="BQ65">
            <v>0.24759999999999999</v>
          </cell>
          <cell r="BR65">
            <v>0.2472</v>
          </cell>
          <cell r="BS65">
            <v>0.24299999999999999</v>
          </cell>
          <cell r="BT65">
            <v>0.246</v>
          </cell>
          <cell r="BU65">
            <v>0.2447</v>
          </cell>
          <cell r="BV65">
            <v>0.24399999999999999</v>
          </cell>
          <cell r="BW65">
            <v>0.24490000000000001</v>
          </cell>
          <cell r="BX65">
            <v>0.2467</v>
          </cell>
          <cell r="BY65">
            <v>0.24940000000000001</v>
          </cell>
          <cell r="BZ65">
            <v>0.24970000000000001</v>
          </cell>
          <cell r="CA65">
            <v>0.251</v>
          </cell>
          <cell r="CB65">
            <v>0.252</v>
          </cell>
          <cell r="CC65">
            <v>0.25180000000000002</v>
          </cell>
          <cell r="CD65">
            <v>0.25219999999999998</v>
          </cell>
          <cell r="CE65">
            <v>0.251</v>
          </cell>
          <cell r="CF65">
            <v>0.24859999999999999</v>
          </cell>
          <cell r="CG65">
            <v>0.25090000000000001</v>
          </cell>
          <cell r="CH65">
            <v>0.25069999999999998</v>
          </cell>
          <cell r="CI65">
            <v>0.25140000000000001</v>
          </cell>
          <cell r="CJ65">
            <v>0.252</v>
          </cell>
          <cell r="CK65">
            <v>0.25290000000000001</v>
          </cell>
          <cell r="CL65">
            <v>0.25390000000000001</v>
          </cell>
          <cell r="CM65">
            <v>0.25090000000000001</v>
          </cell>
          <cell r="CN65">
            <v>0.25240000000000001</v>
          </cell>
          <cell r="CO65">
            <v>0.251</v>
          </cell>
          <cell r="CP65">
            <v>0.251</v>
          </cell>
          <cell r="CQ65">
            <v>0.25259999999999999</v>
          </cell>
          <cell r="CR65">
            <v>0.252</v>
          </cell>
          <cell r="CS65">
            <v>0.253</v>
          </cell>
          <cell r="CT65">
            <v>0.25319999999999998</v>
          </cell>
          <cell r="CU65">
            <v>0.25387999999999999</v>
          </cell>
          <cell r="CV65">
            <v>0.255</v>
          </cell>
          <cell r="CW65">
            <v>0.25409999999999999</v>
          </cell>
          <cell r="CX65">
            <v>0.25374000000000002</v>
          </cell>
          <cell r="CY65">
            <v>0.2545</v>
          </cell>
        </row>
        <row r="66">
          <cell r="A66">
            <v>8.5000000000000006E-2</v>
          </cell>
          <cell r="B66">
            <v>8.5300000000000001E-2</v>
          </cell>
          <cell r="C66">
            <v>8.3000000000000004E-2</v>
          </cell>
          <cell r="D66">
            <v>8.1000000000000003E-2</v>
          </cell>
          <cell r="E66">
            <v>0.08</v>
          </cell>
          <cell r="F66">
            <v>8.1100000000000005E-2</v>
          </cell>
          <cell r="G66">
            <v>8.1000000000000003E-2</v>
          </cell>
          <cell r="H66">
            <v>8.0399999999999999E-2</v>
          </cell>
          <cell r="I66">
            <v>8.0799999999999997E-2</v>
          </cell>
          <cell r="J66">
            <v>8.2000000000000003E-2</v>
          </cell>
          <cell r="K66">
            <v>8.14E-2</v>
          </cell>
          <cell r="L66">
            <v>8.2699999999999996E-2</v>
          </cell>
          <cell r="M66">
            <v>8.2500000000000004E-2</v>
          </cell>
          <cell r="N66">
            <v>8.2900000000000001E-2</v>
          </cell>
          <cell r="O66">
            <v>8.6999999999999994E-2</v>
          </cell>
          <cell r="P66">
            <v>8.7999999999999995E-2</v>
          </cell>
          <cell r="Q66">
            <v>8.8999999999999996E-2</v>
          </cell>
          <cell r="R66">
            <v>9.01E-2</v>
          </cell>
          <cell r="S66">
            <v>9.1200000000000003E-2</v>
          </cell>
          <cell r="T66">
            <v>9.1800000000000007E-2</v>
          </cell>
          <cell r="U66">
            <v>9.5299999999999996E-2</v>
          </cell>
          <cell r="V66">
            <v>9.8000000000000004E-2</v>
          </cell>
          <cell r="W66">
            <v>0.1</v>
          </cell>
          <cell r="X66">
            <v>0.10199999999999999</v>
          </cell>
          <cell r="Y66">
            <v>0.104</v>
          </cell>
          <cell r="Z66">
            <v>0.104</v>
          </cell>
          <cell r="AA66">
            <v>0.106</v>
          </cell>
          <cell r="AB66">
            <v>0.11</v>
          </cell>
          <cell r="AC66">
            <v>0.113</v>
          </cell>
          <cell r="AD66">
            <v>0.114</v>
          </cell>
          <cell r="AE66">
            <v>0.11799999999999999</v>
          </cell>
          <cell r="AF66">
            <v>0.12</v>
          </cell>
          <cell r="AG66">
            <v>0.1268</v>
          </cell>
          <cell r="AH66">
            <v>0.129</v>
          </cell>
          <cell r="AI66">
            <v>0.13150000000000001</v>
          </cell>
          <cell r="AJ66">
            <v>0.13669999999999999</v>
          </cell>
          <cell r="AK66">
            <v>0.1414</v>
          </cell>
          <cell r="AL66">
            <v>0.14410000000000001</v>
          </cell>
          <cell r="AM66">
            <v>0.14910000000000001</v>
          </cell>
          <cell r="AN66">
            <v>0.16339999999999999</v>
          </cell>
          <cell r="AO66">
            <v>0.16500000000000001</v>
          </cell>
          <cell r="AP66">
            <v>0.16600000000000001</v>
          </cell>
          <cell r="AQ66">
            <v>0.17399999999999999</v>
          </cell>
          <cell r="AR66">
            <v>0.17499999999999999</v>
          </cell>
          <cell r="AS66">
            <v>0.17780000000000001</v>
          </cell>
          <cell r="AT66">
            <v>0.17899999999999999</v>
          </cell>
          <cell r="AU66">
            <v>0.18060000000000001</v>
          </cell>
          <cell r="AV66">
            <v>0.189</v>
          </cell>
          <cell r="AW66">
            <v>0.19220000000000001</v>
          </cell>
          <cell r="AX66">
            <v>0.19800000000000001</v>
          </cell>
          <cell r="AY66">
            <v>0.19800000000000001</v>
          </cell>
          <cell r="AZ66">
            <v>0.19900000000000001</v>
          </cell>
          <cell r="BA66">
            <v>0.19400000000000001</v>
          </cell>
          <cell r="BB66">
            <v>0.19800000000000001</v>
          </cell>
          <cell r="BC66">
            <v>0.2</v>
          </cell>
          <cell r="BD66">
            <v>0.19900000000000001</v>
          </cell>
          <cell r="BE66">
            <v>0.19980000000000001</v>
          </cell>
          <cell r="BF66">
            <v>0.2011</v>
          </cell>
          <cell r="BG66">
            <v>0.20699999999999999</v>
          </cell>
          <cell r="BH66">
            <v>0.2082</v>
          </cell>
          <cell r="BI66">
            <v>0.20899999999999999</v>
          </cell>
          <cell r="BJ66">
            <v>0.21199999999999999</v>
          </cell>
          <cell r="BK66">
            <v>0.21337999999999999</v>
          </cell>
          <cell r="BL66">
            <v>0.21457999999999999</v>
          </cell>
          <cell r="BM66">
            <v>0.21679999999999999</v>
          </cell>
          <cell r="BN66">
            <v>0.21689</v>
          </cell>
          <cell r="BO66">
            <v>0.215</v>
          </cell>
          <cell r="BP66">
            <v>0.21560000000000001</v>
          </cell>
          <cell r="BQ66">
            <v>0.21759999999999999</v>
          </cell>
          <cell r="BR66">
            <v>0.22172</v>
          </cell>
          <cell r="BS66">
            <v>0.22303999999999999</v>
          </cell>
          <cell r="BT66">
            <v>0.22550000000000001</v>
          </cell>
          <cell r="BU66">
            <v>0.22470000000000001</v>
          </cell>
          <cell r="BV66">
            <v>0.22339999999999999</v>
          </cell>
          <cell r="BW66">
            <v>0.22348999999999999</v>
          </cell>
          <cell r="BX66">
            <v>0.22670000000000001</v>
          </cell>
          <cell r="BY66">
            <v>0.22939999999999999</v>
          </cell>
          <cell r="BZ66">
            <v>0.22936000000000001</v>
          </cell>
          <cell r="CA66">
            <v>0.23014999999999999</v>
          </cell>
          <cell r="CB66">
            <v>0.23089999999999999</v>
          </cell>
          <cell r="CC66">
            <v>0.23080000000000001</v>
          </cell>
          <cell r="CD66">
            <v>0.23219999999999999</v>
          </cell>
          <cell r="CE66">
            <v>0.23269999999999999</v>
          </cell>
          <cell r="CF66">
            <v>0.2336</v>
          </cell>
          <cell r="CG66">
            <v>0.2349</v>
          </cell>
          <cell r="CH66">
            <v>0.23200000000000001</v>
          </cell>
          <cell r="CI66">
            <v>0.23139999999999999</v>
          </cell>
          <cell r="CJ66">
            <v>0.23449999999999999</v>
          </cell>
          <cell r="CK66">
            <v>0.2369</v>
          </cell>
          <cell r="CL66">
            <v>0.23899999999999999</v>
          </cell>
          <cell r="CM66">
            <v>0.23799999999999999</v>
          </cell>
          <cell r="CN66">
            <v>0.23400000000000001</v>
          </cell>
          <cell r="CO66">
            <v>0.2346</v>
          </cell>
          <cell r="CP66">
            <v>0.23810000000000001</v>
          </cell>
          <cell r="CQ66">
            <v>0.23899999999999999</v>
          </cell>
          <cell r="CR66">
            <v>0.2392</v>
          </cell>
          <cell r="CS66">
            <v>0.23799999999999999</v>
          </cell>
          <cell r="CT66">
            <v>0.23849999999999999</v>
          </cell>
          <cell r="CU66">
            <v>0.23580000000000001</v>
          </cell>
          <cell r="CV66">
            <v>0.23400000000000001</v>
          </cell>
          <cell r="CW66">
            <v>0.23300000000000001</v>
          </cell>
          <cell r="CX66">
            <v>0.23400000000000001</v>
          </cell>
          <cell r="CY66">
            <v>0.23599999999999999</v>
          </cell>
        </row>
        <row r="69">
          <cell r="A69">
            <v>0</v>
          </cell>
          <cell r="B69">
            <v>80</v>
          </cell>
          <cell r="C69">
            <v>160</v>
          </cell>
          <cell r="D69">
            <v>310</v>
          </cell>
          <cell r="E69">
            <v>390</v>
          </cell>
          <cell r="F69">
            <v>470</v>
          </cell>
          <cell r="G69">
            <v>550</v>
          </cell>
          <cell r="H69">
            <v>630</v>
          </cell>
          <cell r="I69">
            <v>710</v>
          </cell>
          <cell r="J69">
            <v>790</v>
          </cell>
          <cell r="K69">
            <v>870</v>
          </cell>
          <cell r="L69">
            <v>950</v>
          </cell>
          <cell r="M69">
            <v>1030</v>
          </cell>
          <cell r="N69">
            <v>1110</v>
          </cell>
          <cell r="O69">
            <v>1190</v>
          </cell>
          <cell r="P69">
            <v>1270</v>
          </cell>
          <cell r="Q69">
            <v>1350</v>
          </cell>
          <cell r="R69">
            <v>1430</v>
          </cell>
          <cell r="S69">
            <v>1510</v>
          </cell>
          <cell r="T69">
            <v>1590</v>
          </cell>
          <cell r="U69">
            <v>1670</v>
          </cell>
          <cell r="V69">
            <v>1750</v>
          </cell>
          <cell r="W69">
            <v>1830</v>
          </cell>
          <cell r="X69">
            <v>1910</v>
          </cell>
          <cell r="Y69">
            <v>1990</v>
          </cell>
          <cell r="Z69">
            <v>2070</v>
          </cell>
          <cell r="AA69">
            <v>2150</v>
          </cell>
          <cell r="AB69">
            <v>2230</v>
          </cell>
          <cell r="AC69">
            <v>2310</v>
          </cell>
          <cell r="AD69">
            <v>2390</v>
          </cell>
          <cell r="AE69">
            <v>2470</v>
          </cell>
          <cell r="AF69">
            <v>2550</v>
          </cell>
          <cell r="AG69">
            <v>2630</v>
          </cell>
          <cell r="AH69">
            <v>2710</v>
          </cell>
          <cell r="AI69">
            <v>2790</v>
          </cell>
          <cell r="AJ69">
            <v>2870</v>
          </cell>
          <cell r="AK69">
            <v>2950</v>
          </cell>
          <cell r="AL69">
            <v>3030</v>
          </cell>
          <cell r="AM69">
            <v>3110</v>
          </cell>
          <cell r="AN69">
            <v>3190</v>
          </cell>
          <cell r="AO69">
            <v>3270</v>
          </cell>
          <cell r="AP69">
            <v>3350</v>
          </cell>
          <cell r="AQ69">
            <v>3430</v>
          </cell>
          <cell r="AR69">
            <v>3510</v>
          </cell>
          <cell r="AS69">
            <v>3590</v>
          </cell>
          <cell r="AT69">
            <v>3670</v>
          </cell>
          <cell r="AU69">
            <v>3750</v>
          </cell>
          <cell r="AV69">
            <v>3830</v>
          </cell>
          <cell r="AW69">
            <v>3910</v>
          </cell>
          <cell r="AX69">
            <v>3990</v>
          </cell>
          <cell r="AY69">
            <v>4070</v>
          </cell>
          <cell r="AZ69">
            <v>4150</v>
          </cell>
          <cell r="BA69">
            <v>4230</v>
          </cell>
          <cell r="BB69">
            <v>4310</v>
          </cell>
          <cell r="BC69">
            <v>4390</v>
          </cell>
          <cell r="BD69">
            <v>4470</v>
          </cell>
          <cell r="BE69">
            <v>4550</v>
          </cell>
          <cell r="BF69">
            <v>4630</v>
          </cell>
          <cell r="BG69">
            <v>4710</v>
          </cell>
          <cell r="BH69">
            <v>4790</v>
          </cell>
          <cell r="BI69">
            <v>4870</v>
          </cell>
          <cell r="BJ69">
            <v>4950</v>
          </cell>
          <cell r="BK69">
            <v>5030</v>
          </cell>
          <cell r="BL69">
            <v>5110</v>
          </cell>
          <cell r="BM69">
            <v>5230</v>
          </cell>
          <cell r="BN69">
            <v>5350</v>
          </cell>
          <cell r="BO69">
            <v>5470</v>
          </cell>
          <cell r="BP69">
            <v>5590</v>
          </cell>
          <cell r="BQ69">
            <v>5710</v>
          </cell>
          <cell r="BR69">
            <v>5830</v>
          </cell>
          <cell r="BS69">
            <v>5950</v>
          </cell>
          <cell r="BT69">
            <v>6070</v>
          </cell>
          <cell r="BU69">
            <v>6190</v>
          </cell>
          <cell r="BV69">
            <v>6310</v>
          </cell>
          <cell r="BW69">
            <v>6430</v>
          </cell>
          <cell r="BX69">
            <v>6550</v>
          </cell>
          <cell r="BY69">
            <v>6670</v>
          </cell>
          <cell r="BZ69">
            <v>6790</v>
          </cell>
          <cell r="CA69">
            <v>6910</v>
          </cell>
          <cell r="CB69">
            <v>7030</v>
          </cell>
          <cell r="CC69">
            <v>7150</v>
          </cell>
          <cell r="CD69">
            <v>7270</v>
          </cell>
          <cell r="CE69">
            <v>7390</v>
          </cell>
          <cell r="CF69">
            <v>7510</v>
          </cell>
          <cell r="CG69">
            <v>7630</v>
          </cell>
          <cell r="CH69">
            <v>7750</v>
          </cell>
          <cell r="CI69">
            <v>7870</v>
          </cell>
          <cell r="CJ69">
            <v>7990</v>
          </cell>
          <cell r="CK69">
            <v>8110</v>
          </cell>
          <cell r="CL69">
            <v>8230</v>
          </cell>
          <cell r="CM69">
            <v>8350</v>
          </cell>
          <cell r="CN69">
            <v>8470</v>
          </cell>
          <cell r="CO69">
            <v>8590</v>
          </cell>
          <cell r="CP69">
            <v>8710</v>
          </cell>
          <cell r="CQ69">
            <v>8830</v>
          </cell>
          <cell r="CR69">
            <v>8950</v>
          </cell>
          <cell r="CS69">
            <v>9070</v>
          </cell>
          <cell r="CT69">
            <v>9190</v>
          </cell>
          <cell r="CU69">
            <v>9310</v>
          </cell>
          <cell r="CV69">
            <v>9430</v>
          </cell>
          <cell r="CW69">
            <v>9550</v>
          </cell>
          <cell r="CX69">
            <v>9670</v>
          </cell>
          <cell r="CY69">
            <v>9790</v>
          </cell>
        </row>
        <row r="70">
          <cell r="A70">
            <v>8.2600000000000007E-2</v>
          </cell>
          <cell r="B70">
            <v>7.0800000000000002E-2</v>
          </cell>
          <cell r="C70">
            <v>7.4399999999999994E-2</v>
          </cell>
          <cell r="D70">
            <v>6.7699999999999996E-2</v>
          </cell>
          <cell r="E70">
            <v>7.0599999999999996E-2</v>
          </cell>
          <cell r="F70">
            <v>7.46E-2</v>
          </cell>
          <cell r="G70">
            <v>7.9600000000000004E-2</v>
          </cell>
          <cell r="H70">
            <v>7.4700000000000003E-2</v>
          </cell>
          <cell r="I70">
            <v>7.5600000000000001E-2</v>
          </cell>
          <cell r="J70">
            <v>8.09E-2</v>
          </cell>
          <cell r="K70">
            <v>7.6100000000000001E-2</v>
          </cell>
          <cell r="L70">
            <v>7.3899999999999993E-2</v>
          </cell>
          <cell r="M70">
            <v>7.46E-2</v>
          </cell>
          <cell r="N70">
            <v>7.4399999999999994E-2</v>
          </cell>
          <cell r="O70">
            <v>7.6399999999999996E-2</v>
          </cell>
          <cell r="P70">
            <v>8.3000000000000004E-2</v>
          </cell>
          <cell r="Q70">
            <v>7.8E-2</v>
          </cell>
          <cell r="R70">
            <v>8.1799999999999998E-2</v>
          </cell>
          <cell r="S70">
            <v>7.5999999999999998E-2</v>
          </cell>
          <cell r="T70">
            <v>7.7799999999999994E-2</v>
          </cell>
          <cell r="U70">
            <v>8.2799999999999999E-2</v>
          </cell>
          <cell r="V70">
            <v>8.4000000000000005E-2</v>
          </cell>
          <cell r="W70">
            <v>7.6999999999999999E-2</v>
          </cell>
          <cell r="X70">
            <v>8.4599999999999995E-2</v>
          </cell>
          <cell r="Y70">
            <v>7.9399999999999998E-2</v>
          </cell>
          <cell r="Z70">
            <v>8.1000000000000003E-2</v>
          </cell>
          <cell r="AA70">
            <v>7.9799999999999996E-2</v>
          </cell>
          <cell r="AB70">
            <v>8.3599999999999994E-2</v>
          </cell>
          <cell r="AC70">
            <v>8.3699999999999997E-2</v>
          </cell>
          <cell r="AD70">
            <v>8.7300000000000003E-2</v>
          </cell>
          <cell r="AE70">
            <v>8.0699999999999994E-2</v>
          </cell>
          <cell r="AF70">
            <v>8.6199999999999999E-2</v>
          </cell>
          <cell r="AG70">
            <v>8.6499999999999994E-2</v>
          </cell>
          <cell r="AH70">
            <v>8.3000000000000004E-2</v>
          </cell>
          <cell r="AI70">
            <v>8.1900000000000001E-2</v>
          </cell>
          <cell r="AJ70">
            <v>8.4199999999999997E-2</v>
          </cell>
          <cell r="AK70">
            <v>9.1999999999999998E-2</v>
          </cell>
          <cell r="AL70">
            <v>9.0700000000000003E-2</v>
          </cell>
          <cell r="AM70">
            <v>9.2299999999999993E-2</v>
          </cell>
          <cell r="AN70">
            <v>0.09</v>
          </cell>
          <cell r="AO70">
            <v>8.3599999999999994E-2</v>
          </cell>
          <cell r="AP70">
            <v>8.6599999999999996E-2</v>
          </cell>
          <cell r="AQ70">
            <v>8.5999999999999993E-2</v>
          </cell>
          <cell r="AR70">
            <v>8.5900000000000004E-2</v>
          </cell>
          <cell r="AS70">
            <v>8.5599999999999996E-2</v>
          </cell>
          <cell r="AT70">
            <v>9.0899999999999995E-2</v>
          </cell>
          <cell r="AU70">
            <v>9.1700000000000004E-2</v>
          </cell>
          <cell r="AV70">
            <v>9.6799999999999997E-2</v>
          </cell>
          <cell r="AW70">
            <v>9.11E-2</v>
          </cell>
          <cell r="AX70">
            <v>9.8699999999999996E-2</v>
          </cell>
          <cell r="AY70">
            <v>9.7900000000000001E-2</v>
          </cell>
          <cell r="AZ70">
            <v>8.9399999999999993E-2</v>
          </cell>
          <cell r="BA70">
            <v>9.6600000000000005E-2</v>
          </cell>
          <cell r="BB70">
            <v>9.8400000000000001E-2</v>
          </cell>
          <cell r="BC70">
            <v>9.6100000000000005E-2</v>
          </cell>
          <cell r="BD70">
            <v>9.4600000000000004E-2</v>
          </cell>
          <cell r="BE70">
            <v>0.1004</v>
          </cell>
          <cell r="BF70">
            <v>9.98E-2</v>
          </cell>
          <cell r="BG70">
            <v>9.9599999999999994E-2</v>
          </cell>
          <cell r="BH70">
            <v>0.10009999999999999</v>
          </cell>
          <cell r="BI70">
            <v>0.10150000000000001</v>
          </cell>
          <cell r="BJ70">
            <v>0.1041</v>
          </cell>
          <cell r="BK70">
            <v>0.1024</v>
          </cell>
          <cell r="BL70">
            <v>0.1014</v>
          </cell>
          <cell r="BM70">
            <v>0.10489999999999999</v>
          </cell>
          <cell r="BN70">
            <v>0.1033</v>
          </cell>
          <cell r="BO70">
            <v>9.7799999999999998E-2</v>
          </cell>
          <cell r="BP70">
            <v>0.10780000000000001</v>
          </cell>
          <cell r="BQ70">
            <v>9.9500000000000005E-2</v>
          </cell>
          <cell r="BR70">
            <v>0.1082</v>
          </cell>
          <cell r="BS70">
            <v>0.1084</v>
          </cell>
          <cell r="BT70">
            <v>0.1076</v>
          </cell>
          <cell r="BU70">
            <v>0.1089</v>
          </cell>
          <cell r="BV70">
            <v>0.1085</v>
          </cell>
          <cell r="BW70">
            <v>0.1057</v>
          </cell>
          <cell r="BX70">
            <v>0.1082</v>
          </cell>
          <cell r="BY70">
            <v>0.1111</v>
          </cell>
          <cell r="BZ70">
            <v>0.1108</v>
          </cell>
          <cell r="CA70">
            <v>0.108</v>
          </cell>
          <cell r="CB70">
            <v>0.10920000000000001</v>
          </cell>
          <cell r="CC70">
            <v>0.1089</v>
          </cell>
          <cell r="CD70">
            <v>0.1106</v>
          </cell>
          <cell r="CE70">
            <v>0.1138</v>
          </cell>
          <cell r="CF70">
            <v>0.108</v>
          </cell>
          <cell r="CG70">
            <v>0.10929999999999999</v>
          </cell>
          <cell r="CH70">
            <v>0.1106</v>
          </cell>
          <cell r="CI70">
            <v>0.1087</v>
          </cell>
          <cell r="CJ70">
            <v>0.1072</v>
          </cell>
          <cell r="CK70">
            <v>0.11169999999999999</v>
          </cell>
          <cell r="CL70">
            <v>0.1109</v>
          </cell>
          <cell r="CM70">
            <v>0.11210000000000001</v>
          </cell>
          <cell r="CN70">
            <v>0.11310000000000001</v>
          </cell>
          <cell r="CO70">
            <v>0.1105</v>
          </cell>
          <cell r="CP70">
            <v>0.1147</v>
          </cell>
          <cell r="CQ70">
            <v>0.1168</v>
          </cell>
          <cell r="CR70">
            <v>0.1137</v>
          </cell>
          <cell r="CS70">
            <v>0.115</v>
          </cell>
          <cell r="CT70">
            <v>0.1142</v>
          </cell>
          <cell r="CU70">
            <v>0.1128</v>
          </cell>
          <cell r="CV70">
            <v>0.1132</v>
          </cell>
          <cell r="CW70">
            <v>0.1143</v>
          </cell>
          <cell r="CX70">
            <v>0.1091</v>
          </cell>
          <cell r="CY70">
            <v>0.108</v>
          </cell>
        </row>
        <row r="71">
          <cell r="A71">
            <v>5.5899999999999998E-2</v>
          </cell>
          <cell r="B71">
            <v>5.0999999999999997E-2</v>
          </cell>
          <cell r="C71">
            <v>5.8000000000000003E-2</v>
          </cell>
          <cell r="D71">
            <v>5.16E-2</v>
          </cell>
          <cell r="E71">
            <v>6.0299999999999999E-2</v>
          </cell>
          <cell r="F71">
            <v>6.6799999999999998E-2</v>
          </cell>
          <cell r="G71">
            <v>6.7699999999999996E-2</v>
          </cell>
          <cell r="H71">
            <v>6.4000000000000001E-2</v>
          </cell>
          <cell r="I71">
            <v>6.3899999999999998E-2</v>
          </cell>
          <cell r="J71">
            <v>6.8500000000000005E-2</v>
          </cell>
          <cell r="K71">
            <v>6.3399999999999998E-2</v>
          </cell>
          <cell r="L71">
            <v>6.6600000000000006E-2</v>
          </cell>
          <cell r="M71">
            <v>6.54E-2</v>
          </cell>
          <cell r="N71">
            <v>5.7799999999999997E-2</v>
          </cell>
          <cell r="O71">
            <v>6.7299999999999999E-2</v>
          </cell>
          <cell r="P71">
            <v>6.7699999999999996E-2</v>
          </cell>
          <cell r="Q71">
            <v>6.4600000000000005E-2</v>
          </cell>
          <cell r="R71">
            <v>7.1199999999999999E-2</v>
          </cell>
          <cell r="S71">
            <v>6.5000000000000002E-2</v>
          </cell>
          <cell r="T71">
            <v>6.7299999999999999E-2</v>
          </cell>
          <cell r="U71">
            <v>7.1199999999999999E-2</v>
          </cell>
          <cell r="V71">
            <v>7.3599999999999999E-2</v>
          </cell>
          <cell r="W71">
            <v>6.9400000000000003E-2</v>
          </cell>
          <cell r="X71">
            <v>7.6399999999999996E-2</v>
          </cell>
          <cell r="Y71">
            <v>7.3099999999999998E-2</v>
          </cell>
          <cell r="Z71">
            <v>7.6200000000000004E-2</v>
          </cell>
          <cell r="AA71">
            <v>8.0600000000000005E-2</v>
          </cell>
          <cell r="AB71">
            <v>7.7799999999999994E-2</v>
          </cell>
          <cell r="AC71">
            <v>8.2900000000000001E-2</v>
          </cell>
          <cell r="AD71">
            <v>8.7999999999999995E-2</v>
          </cell>
          <cell r="AE71">
            <v>9.2100000000000001E-2</v>
          </cell>
          <cell r="AF71">
            <v>9.5799999999999996E-2</v>
          </cell>
          <cell r="AG71">
            <v>9.6299999999999997E-2</v>
          </cell>
          <cell r="AH71">
            <v>9.4299999999999995E-2</v>
          </cell>
          <cell r="AI71">
            <v>0.1008</v>
          </cell>
          <cell r="AJ71">
            <v>0.1052</v>
          </cell>
          <cell r="AK71">
            <v>0.111</v>
          </cell>
          <cell r="AL71">
            <v>0.11749999999999999</v>
          </cell>
          <cell r="AM71">
            <v>0.11849999999999999</v>
          </cell>
          <cell r="AN71">
            <v>0.1211</v>
          </cell>
          <cell r="AO71">
            <v>0.11609999999999999</v>
          </cell>
          <cell r="AP71">
            <v>0.1198</v>
          </cell>
          <cell r="AQ71">
            <v>0.12529999999999999</v>
          </cell>
          <cell r="AR71">
            <v>0.12559999999999999</v>
          </cell>
          <cell r="AS71">
            <v>0.12989999999999999</v>
          </cell>
          <cell r="AT71">
            <v>0.1328</v>
          </cell>
          <cell r="AU71">
            <v>0.1353</v>
          </cell>
          <cell r="AV71">
            <v>0.1429</v>
          </cell>
          <cell r="AW71">
            <v>0.13830000000000001</v>
          </cell>
          <cell r="AX71">
            <v>0.14480000000000001</v>
          </cell>
          <cell r="AY71">
            <v>0.14660000000000001</v>
          </cell>
          <cell r="AZ71">
            <v>0.14499999999999999</v>
          </cell>
          <cell r="BA71">
            <v>0.14929999999999999</v>
          </cell>
          <cell r="BB71">
            <v>0.1527</v>
          </cell>
          <cell r="BC71">
            <v>0.15290000000000001</v>
          </cell>
          <cell r="BD71">
            <v>0.14949999999999999</v>
          </cell>
          <cell r="BE71">
            <v>0.15570000000000001</v>
          </cell>
          <cell r="BF71">
            <v>0.1588</v>
          </cell>
          <cell r="BG71">
            <v>0.15690000000000001</v>
          </cell>
          <cell r="BH71">
            <v>0.1555</v>
          </cell>
          <cell r="BI71">
            <v>0.161</v>
          </cell>
          <cell r="BJ71">
            <v>0.16200000000000001</v>
          </cell>
          <cell r="BK71">
            <v>0.16209999999999999</v>
          </cell>
          <cell r="BL71">
            <v>0.1641</v>
          </cell>
          <cell r="BM71">
            <v>0.1628</v>
          </cell>
          <cell r="BN71">
            <v>0.16650000000000001</v>
          </cell>
          <cell r="BO71">
            <v>0.16139999999999999</v>
          </cell>
          <cell r="BP71">
            <v>0.16750000000000001</v>
          </cell>
          <cell r="BQ71">
            <v>0.16600000000000001</v>
          </cell>
          <cell r="BR71">
            <v>0.16880000000000001</v>
          </cell>
          <cell r="BS71">
            <v>0.1701</v>
          </cell>
          <cell r="BT71">
            <v>0.1711</v>
          </cell>
          <cell r="BU71">
            <v>0.17130000000000001</v>
          </cell>
          <cell r="BV71">
            <v>0.17230000000000001</v>
          </cell>
          <cell r="BW71">
            <v>0.1759</v>
          </cell>
          <cell r="BX71">
            <v>0.17530000000000001</v>
          </cell>
          <cell r="BY71">
            <v>0.17480000000000001</v>
          </cell>
          <cell r="BZ71">
            <v>0.1759</v>
          </cell>
          <cell r="CA71">
            <v>0.17510000000000001</v>
          </cell>
          <cell r="CB71">
            <v>0.1734</v>
          </cell>
          <cell r="CC71">
            <v>0.1714</v>
          </cell>
          <cell r="CD71">
            <v>0.1731</v>
          </cell>
          <cell r="CE71">
            <v>0.17180000000000001</v>
          </cell>
          <cell r="CF71">
            <v>0.17180000000000001</v>
          </cell>
          <cell r="CG71">
            <v>0.17519999999999999</v>
          </cell>
          <cell r="CH71">
            <v>0.17460000000000001</v>
          </cell>
          <cell r="CI71">
            <v>0.1741</v>
          </cell>
          <cell r="CJ71">
            <v>0.1767</v>
          </cell>
          <cell r="CK71">
            <v>0.17680000000000001</v>
          </cell>
          <cell r="CL71">
            <v>0.18060000000000001</v>
          </cell>
          <cell r="CM71">
            <v>0.1777</v>
          </cell>
          <cell r="CN71">
            <v>0.1789</v>
          </cell>
          <cell r="CO71">
            <v>0.17710000000000001</v>
          </cell>
          <cell r="CP71">
            <v>0.18129999999999999</v>
          </cell>
          <cell r="CQ71">
            <v>0.17899999999999999</v>
          </cell>
          <cell r="CR71">
            <v>0.17949999999999999</v>
          </cell>
          <cell r="CS71">
            <v>0.1799</v>
          </cell>
          <cell r="CT71">
            <v>0.18310000000000001</v>
          </cell>
          <cell r="CU71">
            <v>0.1827</v>
          </cell>
          <cell r="CV71">
            <v>0.18329999999999999</v>
          </cell>
          <cell r="CW71">
            <v>0.18290000000000001</v>
          </cell>
          <cell r="CX71">
            <v>0.17899999999999999</v>
          </cell>
          <cell r="CY71">
            <v>0.17760000000000001</v>
          </cell>
        </row>
        <row r="72">
          <cell r="A72">
            <v>6.5000000000000002E-2</v>
          </cell>
          <cell r="B72">
            <v>6.6000000000000003E-2</v>
          </cell>
          <cell r="C72">
            <v>6.6699999999999995E-2</v>
          </cell>
          <cell r="D72">
            <v>6.25E-2</v>
          </cell>
          <cell r="E72">
            <v>6.4899999999999999E-2</v>
          </cell>
          <cell r="F72">
            <v>6.5299999999999997E-2</v>
          </cell>
          <cell r="G72">
            <v>6.7699999999999996E-2</v>
          </cell>
          <cell r="H72">
            <v>6.9199999999999998E-2</v>
          </cell>
          <cell r="I72">
            <v>6.8900000000000003E-2</v>
          </cell>
          <cell r="J72">
            <v>6.9500000000000006E-2</v>
          </cell>
          <cell r="K72">
            <v>7.1300000000000002E-2</v>
          </cell>
          <cell r="L72">
            <v>7.1400000000000005E-2</v>
          </cell>
          <cell r="M72">
            <v>7.1349999999999997E-2</v>
          </cell>
          <cell r="N72">
            <v>7.1260000000000004E-2</v>
          </cell>
          <cell r="O72">
            <v>7.1629999999999999E-2</v>
          </cell>
          <cell r="P72">
            <v>7.1239999999999998E-2</v>
          </cell>
          <cell r="Q72">
            <v>7.1480000000000002E-2</v>
          </cell>
          <cell r="R72">
            <v>7.2349999999999998E-2</v>
          </cell>
          <cell r="S72">
            <v>7.1870000000000003E-2</v>
          </cell>
          <cell r="T72">
            <v>7.2489999999999999E-2</v>
          </cell>
          <cell r="U72">
            <v>7.2288099999999994E-2</v>
          </cell>
          <cell r="V72">
            <v>7.2300000000000003E-2</v>
          </cell>
          <cell r="W72">
            <v>7.5240000000000001E-2</v>
          </cell>
          <cell r="X72">
            <v>8.1699999999999995E-2</v>
          </cell>
          <cell r="Y72">
            <v>8.3030000000000007E-2</v>
          </cell>
          <cell r="Z72">
            <v>8.5313200000000006E-2</v>
          </cell>
          <cell r="AA72">
            <v>8.5500000000000007E-2</v>
          </cell>
          <cell r="AB72">
            <v>8.8959999999999997E-2</v>
          </cell>
          <cell r="AC72">
            <v>9.1800000000000007E-2</v>
          </cell>
          <cell r="AD72">
            <v>9.6570000000000003E-2</v>
          </cell>
          <cell r="AE72">
            <v>9.7500000000000003E-2</v>
          </cell>
          <cell r="AF72">
            <v>9.8900000000000002E-2</v>
          </cell>
          <cell r="AG72">
            <v>0.1089</v>
          </cell>
          <cell r="AH72">
            <v>0.1099</v>
          </cell>
          <cell r="AI72">
            <v>0.1152</v>
          </cell>
          <cell r="AJ72">
            <v>0.11695</v>
          </cell>
          <cell r="AK72">
            <v>0.11786000000000001</v>
          </cell>
          <cell r="AL72">
            <v>0.1221</v>
          </cell>
          <cell r="AM72">
            <v>0.12914</v>
          </cell>
          <cell r="AN72">
            <v>0.1326</v>
          </cell>
          <cell r="AO72">
            <v>0.13320000000000001</v>
          </cell>
          <cell r="AP72">
            <v>0.14130000000000001</v>
          </cell>
          <cell r="AQ72">
            <v>0.14735999999999999</v>
          </cell>
          <cell r="AR72">
            <v>0.14899999999999999</v>
          </cell>
          <cell r="AS72">
            <v>0.15340000000000001</v>
          </cell>
          <cell r="AT72">
            <v>0.15740000000000001</v>
          </cell>
          <cell r="AU72">
            <v>0.15926000000000001</v>
          </cell>
          <cell r="AV72">
            <v>0.16300000000000001</v>
          </cell>
          <cell r="AW72">
            <v>0.1696</v>
          </cell>
          <cell r="AX72">
            <v>0.17319999999999999</v>
          </cell>
          <cell r="AY72">
            <v>0.17799999999999999</v>
          </cell>
          <cell r="AZ72">
            <v>0.18099999999999999</v>
          </cell>
          <cell r="BA72">
            <v>0.183</v>
          </cell>
          <cell r="BB72">
            <v>0.187</v>
          </cell>
          <cell r="BC72">
            <v>0.189</v>
          </cell>
          <cell r="BD72">
            <v>0.19400000000000001</v>
          </cell>
          <cell r="BE72">
            <v>0.19600000000000001</v>
          </cell>
          <cell r="BF72">
            <v>0.19600000000000001</v>
          </cell>
          <cell r="BG72">
            <v>0.19900000000000001</v>
          </cell>
          <cell r="BH72">
            <v>0.20100000000000001</v>
          </cell>
          <cell r="BI72">
            <v>0.20430000000000001</v>
          </cell>
          <cell r="BJ72">
            <v>0.20599999999999999</v>
          </cell>
          <cell r="BK72">
            <v>0.2082</v>
          </cell>
          <cell r="BL72">
            <v>0.21110000000000001</v>
          </cell>
          <cell r="BM72">
            <v>0.214</v>
          </cell>
          <cell r="BN72">
            <v>0.21737999999999999</v>
          </cell>
          <cell r="BO72">
            <v>0.2198</v>
          </cell>
          <cell r="BP72">
            <v>0.2223</v>
          </cell>
          <cell r="BQ72">
            <v>0.22439999999999999</v>
          </cell>
          <cell r="BR72">
            <v>0.22811999999999999</v>
          </cell>
          <cell r="BS72">
            <v>0.22950000000000001</v>
          </cell>
          <cell r="BT72">
            <v>0.23119999999999999</v>
          </cell>
          <cell r="BU72">
            <v>0.23283999999999999</v>
          </cell>
          <cell r="BV72">
            <v>0.23400000000000001</v>
          </cell>
          <cell r="BW72">
            <v>0.2356</v>
          </cell>
          <cell r="BX72">
            <v>0.23699999999999999</v>
          </cell>
          <cell r="BY72">
            <v>0.23899999999999999</v>
          </cell>
          <cell r="BZ72">
            <v>0.24099999999999999</v>
          </cell>
          <cell r="CA72">
            <v>0.24279999999999999</v>
          </cell>
          <cell r="CB72">
            <v>0.24349999999999999</v>
          </cell>
          <cell r="CC72">
            <v>0.24399999999999999</v>
          </cell>
          <cell r="CD72">
            <v>0.24490000000000001</v>
          </cell>
          <cell r="CE72">
            <v>0.24399999999999999</v>
          </cell>
          <cell r="CF72">
            <v>0.24299999999999999</v>
          </cell>
          <cell r="CG72">
            <v>0.24399999999999999</v>
          </cell>
          <cell r="CH72">
            <v>0.245</v>
          </cell>
          <cell r="CI72">
            <v>0.248</v>
          </cell>
          <cell r="CJ72">
            <v>0.246</v>
          </cell>
          <cell r="CK72">
            <v>0.245</v>
          </cell>
          <cell r="CL72">
            <v>0.249</v>
          </cell>
          <cell r="CM72">
            <v>0.25</v>
          </cell>
          <cell r="CN72">
            <v>0.248</v>
          </cell>
          <cell r="CO72">
            <v>0.247</v>
          </cell>
          <cell r="CP72">
            <v>0.249</v>
          </cell>
          <cell r="CQ72">
            <v>0.25</v>
          </cell>
          <cell r="CR72">
            <v>0.251</v>
          </cell>
          <cell r="CS72">
            <v>0.252</v>
          </cell>
          <cell r="CT72">
            <v>0.252</v>
          </cell>
          <cell r="CU72">
            <v>0.253</v>
          </cell>
          <cell r="CV72">
            <v>0.254</v>
          </cell>
          <cell r="CW72">
            <v>0.252</v>
          </cell>
          <cell r="CX72">
            <v>0.248</v>
          </cell>
          <cell r="CY72">
            <v>0.249</v>
          </cell>
        </row>
        <row r="73">
          <cell r="A73">
            <v>6.1199999999999997E-2</v>
          </cell>
          <cell r="B73">
            <v>6.1400000000000003E-2</v>
          </cell>
          <cell r="C73">
            <v>6.1699999999999998E-2</v>
          </cell>
          <cell r="D73">
            <v>6.4100000000000004E-2</v>
          </cell>
          <cell r="E73">
            <v>6.8000000000000005E-2</v>
          </cell>
          <cell r="F73">
            <v>7.0999999999999994E-2</v>
          </cell>
          <cell r="G73">
            <v>7.5499999999999998E-2</v>
          </cell>
          <cell r="H73">
            <v>7.9200000000000007E-2</v>
          </cell>
          <cell r="I73">
            <v>7.9100000000000004E-2</v>
          </cell>
          <cell r="J73">
            <v>7.9899999999999999E-2</v>
          </cell>
          <cell r="K73">
            <v>7.8850000000000003E-2</v>
          </cell>
          <cell r="L73">
            <v>8.4400000000000003E-2</v>
          </cell>
          <cell r="M73">
            <v>8.5000000000000006E-2</v>
          </cell>
          <cell r="N73">
            <v>8.3599999999999994E-2</v>
          </cell>
          <cell r="O73">
            <v>8.7300000000000003E-2</v>
          </cell>
          <cell r="P73">
            <v>8.924E-2</v>
          </cell>
          <cell r="Q73">
            <v>8.7480000000000002E-2</v>
          </cell>
          <cell r="R73">
            <v>8.8499999999999995E-2</v>
          </cell>
          <cell r="S73">
            <v>8.8700000000000001E-2</v>
          </cell>
          <cell r="T73">
            <v>8.949E-2</v>
          </cell>
          <cell r="U73">
            <v>9.0999999999999998E-2</v>
          </cell>
          <cell r="V73">
            <v>9.4320000000000001E-2</v>
          </cell>
          <cell r="W73">
            <v>9.4399999999999998E-2</v>
          </cell>
          <cell r="X73">
            <v>0.107</v>
          </cell>
          <cell r="Y73">
            <v>0.111</v>
          </cell>
          <cell r="Z73">
            <v>0.12</v>
          </cell>
          <cell r="AA73">
            <v>0.1255</v>
          </cell>
          <cell r="AB73">
            <v>0.1396</v>
          </cell>
          <cell r="AC73">
            <v>0.13800000000000001</v>
          </cell>
          <cell r="AD73">
            <v>0.14699999999999999</v>
          </cell>
          <cell r="AE73">
            <v>0.14760000000000001</v>
          </cell>
          <cell r="AF73">
            <v>0.1489</v>
          </cell>
          <cell r="AG73">
            <v>0.1565</v>
          </cell>
          <cell r="AH73">
            <v>0.16200000000000001</v>
          </cell>
          <cell r="AI73">
            <v>0.17499999999999999</v>
          </cell>
          <cell r="AJ73">
            <v>0.17949999999999999</v>
          </cell>
          <cell r="AK73">
            <v>0.186</v>
          </cell>
          <cell r="AL73">
            <v>0.191</v>
          </cell>
          <cell r="AM73">
            <v>0.20100000000000001</v>
          </cell>
          <cell r="AN73">
            <v>0.20599999999999999</v>
          </cell>
          <cell r="AO73">
            <v>0.21032000000000001</v>
          </cell>
          <cell r="AP73">
            <v>0.21299999999999999</v>
          </cell>
          <cell r="AQ73">
            <v>0.21836</v>
          </cell>
          <cell r="AR73">
            <v>0.22500000000000001</v>
          </cell>
          <cell r="AS73">
            <v>0.22339999999999999</v>
          </cell>
          <cell r="AT73">
            <v>0.22939999999999999</v>
          </cell>
          <cell r="AU73">
            <v>0.2316</v>
          </cell>
          <cell r="AV73">
            <v>0.2349</v>
          </cell>
          <cell r="AW73">
            <v>0.246</v>
          </cell>
          <cell r="AX73">
            <v>0.247</v>
          </cell>
          <cell r="AY73">
            <v>0.25019999999999998</v>
          </cell>
          <cell r="AZ73">
            <v>0.25700000000000001</v>
          </cell>
          <cell r="BA73">
            <v>0.26</v>
          </cell>
          <cell r="BB73">
            <v>0.26700000000000002</v>
          </cell>
          <cell r="BC73">
            <v>0.27060000000000001</v>
          </cell>
          <cell r="BD73">
            <v>0.27939999999999998</v>
          </cell>
          <cell r="BE73">
            <v>0.28199999999999997</v>
          </cell>
          <cell r="BF73">
            <v>0.28410000000000002</v>
          </cell>
          <cell r="BG73">
            <v>0.28599999999999998</v>
          </cell>
          <cell r="BH73">
            <v>0.28889999999999999</v>
          </cell>
          <cell r="BI73">
            <v>0.2843</v>
          </cell>
          <cell r="BJ73">
            <v>0.29099999999999998</v>
          </cell>
          <cell r="BK73">
            <v>0.29199999999999998</v>
          </cell>
          <cell r="BL73">
            <v>0.29310000000000003</v>
          </cell>
          <cell r="BM73">
            <v>0.29310000000000003</v>
          </cell>
          <cell r="BN73">
            <v>0.29380000000000001</v>
          </cell>
          <cell r="BO73">
            <v>0.29677999999999999</v>
          </cell>
          <cell r="BP73">
            <v>0.29899999999999999</v>
          </cell>
          <cell r="BQ73">
            <v>0.30399999999999999</v>
          </cell>
          <cell r="BR73">
            <v>0.30199999999999999</v>
          </cell>
          <cell r="BS73">
            <v>0.30499999999999999</v>
          </cell>
          <cell r="BT73">
            <v>0.30819999999999997</v>
          </cell>
          <cell r="BU73">
            <v>0.307</v>
          </cell>
          <cell r="BV73">
            <v>0.31</v>
          </cell>
          <cell r="BW73">
            <v>0.309</v>
          </cell>
          <cell r="BX73">
            <v>0.31140000000000001</v>
          </cell>
          <cell r="BY73">
            <v>0.312</v>
          </cell>
          <cell r="BZ73">
            <v>0.312</v>
          </cell>
          <cell r="CA73">
            <v>0.313</v>
          </cell>
          <cell r="CB73">
            <v>0.312</v>
          </cell>
          <cell r="CC73">
            <v>0.314</v>
          </cell>
          <cell r="CD73">
            <v>0.315</v>
          </cell>
          <cell r="CE73">
            <v>0.316</v>
          </cell>
          <cell r="CF73">
            <v>0.31540000000000001</v>
          </cell>
          <cell r="CG73">
            <v>0.316</v>
          </cell>
          <cell r="CH73">
            <v>0.316</v>
          </cell>
          <cell r="CI73">
            <v>0.314</v>
          </cell>
          <cell r="CJ73">
            <v>0.315</v>
          </cell>
          <cell r="CK73">
            <v>0.31900000000000001</v>
          </cell>
          <cell r="CL73">
            <v>0.32</v>
          </cell>
          <cell r="CM73">
            <v>0.31900000000000001</v>
          </cell>
          <cell r="CN73">
            <v>0.31559999999999999</v>
          </cell>
          <cell r="CO73">
            <v>0.31609999999999999</v>
          </cell>
          <cell r="CP73">
            <v>0.31780000000000003</v>
          </cell>
          <cell r="CQ73">
            <v>0.31709999999999999</v>
          </cell>
          <cell r="CR73">
            <v>0.319936</v>
          </cell>
          <cell r="CS73">
            <v>0.32190000000000002</v>
          </cell>
          <cell r="CT73">
            <v>0.32052000000000003</v>
          </cell>
          <cell r="CU73">
            <v>0.32074999999999998</v>
          </cell>
          <cell r="CV73">
            <v>0.31969999999999998</v>
          </cell>
          <cell r="CW73">
            <v>0.31819999999999998</v>
          </cell>
          <cell r="CX73">
            <v>0.31609999999999999</v>
          </cell>
          <cell r="CY73">
            <v>0.32066</v>
          </cell>
        </row>
        <row r="74">
          <cell r="A74">
            <v>6.7199999999999996E-2</v>
          </cell>
          <cell r="B74">
            <v>6.0199999999999997E-2</v>
          </cell>
          <cell r="C74">
            <v>6.6699999999999995E-2</v>
          </cell>
          <cell r="D74">
            <v>6.3E-2</v>
          </cell>
          <cell r="E74">
            <v>6.4899999999999999E-2</v>
          </cell>
          <cell r="F74">
            <v>7.5300000000000006E-2</v>
          </cell>
          <cell r="G74">
            <v>7.7700000000000005E-2</v>
          </cell>
          <cell r="H74">
            <v>7.3200000000000001E-2</v>
          </cell>
          <cell r="I74">
            <v>7.4099999999999999E-2</v>
          </cell>
          <cell r="J74">
            <v>8.1799999999999998E-2</v>
          </cell>
          <cell r="K74">
            <v>7.4499999999999997E-2</v>
          </cell>
          <cell r="L74">
            <v>7.4399999999999994E-2</v>
          </cell>
          <cell r="M74">
            <v>7.4499999999999997E-2</v>
          </cell>
          <cell r="N74">
            <v>7.3599999999999999E-2</v>
          </cell>
          <cell r="O74">
            <v>7.2999999999999995E-2</v>
          </cell>
          <cell r="P74">
            <v>8.2400000000000001E-2</v>
          </cell>
          <cell r="Q74">
            <v>7.4800000000000005E-2</v>
          </cell>
          <cell r="R74">
            <v>8.1000000000000003E-2</v>
          </cell>
          <cell r="S74">
            <v>7.8700000000000006E-2</v>
          </cell>
          <cell r="T74">
            <v>8.1490000000000007E-2</v>
          </cell>
          <cell r="U74">
            <v>8.1809999999999994E-2</v>
          </cell>
          <cell r="V74">
            <v>8.3199999999999996E-2</v>
          </cell>
          <cell r="W74">
            <v>8.2400000000000001E-2</v>
          </cell>
          <cell r="X74">
            <v>8.1699999999999995E-2</v>
          </cell>
          <cell r="Y74">
            <v>8.1030000000000005E-2</v>
          </cell>
          <cell r="Z74">
            <v>9.3200000000000005E-2</v>
          </cell>
          <cell r="AA74">
            <v>9.5500000000000002E-2</v>
          </cell>
          <cell r="AB74">
            <v>0.1096</v>
          </cell>
          <cell r="AC74">
            <v>0.1128</v>
          </cell>
          <cell r="AD74">
            <v>0.11347</v>
          </cell>
          <cell r="AE74">
            <v>0.11876</v>
          </cell>
          <cell r="AF74">
            <v>0.12189</v>
          </cell>
          <cell r="AG74">
            <v>0.12525</v>
          </cell>
          <cell r="AH74">
            <v>0.1356</v>
          </cell>
          <cell r="AI74">
            <v>0.13678000000000001</v>
          </cell>
          <cell r="AJ74">
            <v>0.14194999999999999</v>
          </cell>
          <cell r="AK74">
            <v>0.14785999999999999</v>
          </cell>
          <cell r="AL74">
            <v>0.14871000000000001</v>
          </cell>
          <cell r="AM74">
            <v>0.15140000000000001</v>
          </cell>
          <cell r="AN74">
            <v>0.156</v>
          </cell>
          <cell r="AO74">
            <v>0.16200000000000001</v>
          </cell>
          <cell r="AP74">
            <v>0.1653</v>
          </cell>
          <cell r="AQ74">
            <v>0.17599999999999999</v>
          </cell>
          <cell r="AR74">
            <v>0.18049999999999999</v>
          </cell>
          <cell r="AS74">
            <v>0.188</v>
          </cell>
          <cell r="AT74">
            <v>0.19173999999999999</v>
          </cell>
          <cell r="AU74">
            <v>0.19225999999999999</v>
          </cell>
          <cell r="AV74">
            <v>0.19500000000000001</v>
          </cell>
          <cell r="AW74">
            <v>0.19900000000000001</v>
          </cell>
          <cell r="AX74">
            <v>0.20469999999999999</v>
          </cell>
          <cell r="AY74">
            <v>0.20402000000000001</v>
          </cell>
          <cell r="AZ74">
            <v>0.2137</v>
          </cell>
          <cell r="BA74">
            <v>0.21640000000000001</v>
          </cell>
          <cell r="BB74">
            <v>0.22170000000000001</v>
          </cell>
          <cell r="BC74">
            <v>0.22506000000000001</v>
          </cell>
          <cell r="BD74">
            <v>0.22494</v>
          </cell>
          <cell r="BE74">
            <v>0.23080000000000001</v>
          </cell>
          <cell r="BF74">
            <v>0.2301</v>
          </cell>
          <cell r="BG74">
            <v>0.2326</v>
          </cell>
          <cell r="BH74">
            <v>0.23588999999999999</v>
          </cell>
          <cell r="BI74">
            <v>0.23643</v>
          </cell>
          <cell r="BJ74">
            <v>0.23648</v>
          </cell>
          <cell r="BK74">
            <v>0.23682</v>
          </cell>
          <cell r="BL74">
            <v>0.242671</v>
          </cell>
          <cell r="BM74">
            <v>0.24690999999999999</v>
          </cell>
          <cell r="BN74">
            <v>0.24737999999999999</v>
          </cell>
          <cell r="BO74">
            <v>0.24979999999999999</v>
          </cell>
          <cell r="BP74">
            <v>0.25290000000000001</v>
          </cell>
          <cell r="BQ74">
            <v>0.25440000000000002</v>
          </cell>
          <cell r="BR74">
            <v>0.25619999999999998</v>
          </cell>
          <cell r="BS74">
            <v>0.25835000000000002</v>
          </cell>
          <cell r="BT74">
            <v>0.25862000000000002</v>
          </cell>
          <cell r="BU74">
            <v>0.25884000000000001</v>
          </cell>
          <cell r="BV74">
            <v>0.25903999999999999</v>
          </cell>
          <cell r="BW74">
            <v>0.2606</v>
          </cell>
          <cell r="BX74">
            <v>0.25903999999999999</v>
          </cell>
          <cell r="BY74">
            <v>0.262903</v>
          </cell>
          <cell r="BZ74">
            <v>0.26479999999999998</v>
          </cell>
          <cell r="CA74">
            <v>0.26579999999999998</v>
          </cell>
          <cell r="CB74">
            <v>0.26740000000000003</v>
          </cell>
          <cell r="CC74">
            <v>0.26740000000000003</v>
          </cell>
          <cell r="CD74">
            <v>0.26600000000000001</v>
          </cell>
          <cell r="CE74">
            <v>0.26500000000000001</v>
          </cell>
          <cell r="CF74">
            <v>0.26540000000000002</v>
          </cell>
          <cell r="CG74">
            <v>0.26900000000000002</v>
          </cell>
          <cell r="CH74">
            <v>0.26900000000000002</v>
          </cell>
          <cell r="CI74">
            <v>0.27</v>
          </cell>
          <cell r="CJ74">
            <v>0.27339999999999998</v>
          </cell>
          <cell r="CK74">
            <v>0.27300000000000002</v>
          </cell>
          <cell r="CL74">
            <v>0.2742</v>
          </cell>
          <cell r="CM74">
            <v>0.27389999999999998</v>
          </cell>
          <cell r="CN74">
            <v>0.27560000000000001</v>
          </cell>
          <cell r="CO74">
            <v>0.27610000000000001</v>
          </cell>
          <cell r="CP74">
            <v>0.27779999999999999</v>
          </cell>
          <cell r="CQ74">
            <v>0.27710000000000001</v>
          </cell>
          <cell r="CR74">
            <v>0.27360000000000001</v>
          </cell>
          <cell r="CS74">
            <v>0.27689999999999998</v>
          </cell>
          <cell r="CT74">
            <v>0.27851999999999999</v>
          </cell>
          <cell r="CU74">
            <v>0.27750000000000002</v>
          </cell>
          <cell r="CV74">
            <v>0.2797</v>
          </cell>
          <cell r="CW74">
            <v>0.2782</v>
          </cell>
          <cell r="CX74">
            <v>0.28610000000000002</v>
          </cell>
          <cell r="CY74">
            <v>0.27660000000000001</v>
          </cell>
        </row>
        <row r="77">
          <cell r="A77">
            <v>6.7199999999999996E-2</v>
          </cell>
          <cell r="B77">
            <v>6.5000000000000002E-2</v>
          </cell>
          <cell r="C77">
            <v>6.6699999999999995E-2</v>
          </cell>
          <cell r="D77">
            <v>6.8000000000000005E-2</v>
          </cell>
          <cell r="E77">
            <v>7.0999999999999994E-2</v>
          </cell>
          <cell r="F77">
            <v>7.5300000000000006E-2</v>
          </cell>
          <cell r="G77">
            <v>7.8E-2</v>
          </cell>
          <cell r="H77">
            <v>7.9000000000000001E-2</v>
          </cell>
          <cell r="I77">
            <v>7.8100000000000003E-2</v>
          </cell>
          <cell r="J77">
            <v>8.1799999999999998E-2</v>
          </cell>
          <cell r="K77">
            <v>7.8100000000000003E-2</v>
          </cell>
          <cell r="L77">
            <v>7.9000000000000001E-2</v>
          </cell>
          <cell r="M77">
            <v>7.85E-2</v>
          </cell>
          <cell r="N77">
            <v>7.8600000000000003E-2</v>
          </cell>
          <cell r="O77">
            <v>7.7299999999999994E-2</v>
          </cell>
          <cell r="P77">
            <v>8.2400000000000001E-2</v>
          </cell>
          <cell r="Q77">
            <v>8.1100000000000005E-2</v>
          </cell>
          <cell r="R77">
            <v>8.1000000000000003E-2</v>
          </cell>
          <cell r="S77">
            <v>8.2699999999999996E-2</v>
          </cell>
          <cell r="T77">
            <v>8.2489999999999994E-2</v>
          </cell>
          <cell r="U77">
            <v>8.1809999999999994E-2</v>
          </cell>
          <cell r="V77">
            <v>8.3199999999999996E-2</v>
          </cell>
          <cell r="W77">
            <v>8.2400000000000001E-2</v>
          </cell>
          <cell r="X77">
            <v>8.3699999999999997E-2</v>
          </cell>
          <cell r="Y77">
            <v>8.1030000000000005E-2</v>
          </cell>
          <cell r="Z77">
            <v>9.3200000000000005E-2</v>
          </cell>
          <cell r="AA77">
            <v>9.8100000000000007E-2</v>
          </cell>
          <cell r="AB77">
            <v>0.1096</v>
          </cell>
          <cell r="AC77">
            <v>0.1128</v>
          </cell>
          <cell r="AD77">
            <v>0.11347</v>
          </cell>
          <cell r="AE77">
            <v>0.11876</v>
          </cell>
          <cell r="AF77">
            <v>0.12189</v>
          </cell>
          <cell r="AG77">
            <v>0.128</v>
          </cell>
          <cell r="AH77">
            <v>0.13600000000000001</v>
          </cell>
          <cell r="AI77">
            <v>0.13800000000000001</v>
          </cell>
          <cell r="AJ77">
            <v>0.14499999999999999</v>
          </cell>
          <cell r="AK77">
            <v>0.14760000000000001</v>
          </cell>
          <cell r="AL77">
            <v>0.151</v>
          </cell>
          <cell r="AM77">
            <v>0.16139999999999999</v>
          </cell>
          <cell r="AN77">
            <v>0.16600000000000001</v>
          </cell>
          <cell r="AO77">
            <v>0.17199999999999999</v>
          </cell>
          <cell r="AP77">
            <v>0.17530000000000001</v>
          </cell>
          <cell r="AQ77">
            <v>0.186</v>
          </cell>
          <cell r="AR77">
            <v>0.185</v>
          </cell>
          <cell r="AS77">
            <v>0.188</v>
          </cell>
          <cell r="AT77">
            <v>0.19400000000000001</v>
          </cell>
          <cell r="AU77">
            <v>0.20599999999999999</v>
          </cell>
          <cell r="AV77">
            <v>0.20499999999999999</v>
          </cell>
          <cell r="AW77">
            <v>0.2109</v>
          </cell>
          <cell r="AX77">
            <v>0.21199999999999999</v>
          </cell>
          <cell r="AY77">
            <v>0.22020000000000001</v>
          </cell>
          <cell r="AZ77">
            <v>0.22370000000000001</v>
          </cell>
          <cell r="BA77">
            <v>0.22639999999999999</v>
          </cell>
          <cell r="BB77">
            <v>0.23699999999999999</v>
          </cell>
          <cell r="BC77">
            <v>0.24506</v>
          </cell>
          <cell r="BD77">
            <v>0.24940000000000001</v>
          </cell>
          <cell r="BE77">
            <v>0.248</v>
          </cell>
          <cell r="BF77">
            <v>0.24510000000000001</v>
          </cell>
          <cell r="BG77">
            <v>0.24959999999999999</v>
          </cell>
          <cell r="BH77">
            <v>0.25189</v>
          </cell>
          <cell r="BI77">
            <v>0.25642999999999999</v>
          </cell>
          <cell r="BJ77">
            <v>0.26479999999999998</v>
          </cell>
          <cell r="BK77">
            <v>0.26819999999999999</v>
          </cell>
          <cell r="BL77">
            <v>0.2671</v>
          </cell>
          <cell r="BM77">
            <v>0.26910000000000001</v>
          </cell>
          <cell r="BN77">
            <v>0.27379999999999999</v>
          </cell>
          <cell r="BO77">
            <v>0.27198</v>
          </cell>
          <cell r="BP77">
            <v>0.27289999999999998</v>
          </cell>
          <cell r="BQ77">
            <v>0.27439999999999998</v>
          </cell>
          <cell r="BR77">
            <v>0.2762</v>
          </cell>
          <cell r="BS77">
            <v>0.27834999999999999</v>
          </cell>
          <cell r="BT77">
            <v>0.27861999999999998</v>
          </cell>
          <cell r="BU77">
            <v>0.27883999999999998</v>
          </cell>
          <cell r="BV77">
            <v>0.27904000000000001</v>
          </cell>
          <cell r="BW77">
            <v>0.28060000000000002</v>
          </cell>
          <cell r="BX77">
            <v>0.28399999999999997</v>
          </cell>
          <cell r="BY77">
            <v>0.28703000000000001</v>
          </cell>
          <cell r="BZ77">
            <v>0.28799999999999998</v>
          </cell>
          <cell r="CA77">
            <v>0.2908</v>
          </cell>
          <cell r="CB77">
            <v>0.29139999999999999</v>
          </cell>
          <cell r="CC77">
            <v>0.28739999999999999</v>
          </cell>
          <cell r="CD77">
            <v>0.29065999999999997</v>
          </cell>
          <cell r="CE77">
            <v>0.29049999999999998</v>
          </cell>
          <cell r="CF77">
            <v>0.29054000000000002</v>
          </cell>
          <cell r="CG77">
            <v>0.2908</v>
          </cell>
          <cell r="CH77">
            <v>0.28999999999999998</v>
          </cell>
          <cell r="CI77">
            <v>0.29099999999999998</v>
          </cell>
          <cell r="CJ77">
            <v>0.29239999999999999</v>
          </cell>
          <cell r="CK77">
            <v>0.29199999999999998</v>
          </cell>
          <cell r="CL77">
            <v>0.29199999999999998</v>
          </cell>
          <cell r="CM77">
            <v>0.29299999999999998</v>
          </cell>
          <cell r="CN77">
            <v>0.29299999999999998</v>
          </cell>
          <cell r="CO77">
            <v>0.29360000000000003</v>
          </cell>
          <cell r="CP77">
            <v>0.29399999999999998</v>
          </cell>
          <cell r="CQ77">
            <v>0.29599999999999999</v>
          </cell>
          <cell r="CR77">
            <v>0.29499999999999998</v>
          </cell>
          <cell r="CS77">
            <v>0.29699999999999999</v>
          </cell>
          <cell r="CT77">
            <v>0.29699999999999999</v>
          </cell>
          <cell r="CU77">
            <v>0.29749999999999999</v>
          </cell>
          <cell r="CV77">
            <v>0.29699999999999999</v>
          </cell>
          <cell r="CW77">
            <v>0.29781999999999997</v>
          </cell>
          <cell r="CX77">
            <v>0.29860999999999999</v>
          </cell>
          <cell r="CY77">
            <v>0.29765999999999998</v>
          </cell>
        </row>
        <row r="80">
          <cell r="A80">
            <v>6.8000000000000005E-2</v>
          </cell>
          <cell r="B80">
            <v>6.7599999999999993E-2</v>
          </cell>
          <cell r="C80">
            <v>6.6699999999999995E-2</v>
          </cell>
          <cell r="D80">
            <v>6.8500000000000005E-2</v>
          </cell>
          <cell r="E80">
            <v>6.8489999999999995E-2</v>
          </cell>
          <cell r="F80">
            <v>6.93E-2</v>
          </cell>
          <cell r="G80">
            <v>6.7699999999999996E-2</v>
          </cell>
          <cell r="H80">
            <v>7.9200000000000007E-2</v>
          </cell>
          <cell r="I80">
            <v>7.8899999999999998E-2</v>
          </cell>
          <cell r="J80">
            <v>7.9500000000000001E-2</v>
          </cell>
          <cell r="K80">
            <v>7.8299999999999995E-2</v>
          </cell>
          <cell r="L80">
            <v>7.8140000000000001E-2</v>
          </cell>
          <cell r="M80">
            <v>7.8134999999999996E-2</v>
          </cell>
          <cell r="N80">
            <v>7.8126000000000001E-2</v>
          </cell>
          <cell r="O80">
            <v>7.9162999999999997E-2</v>
          </cell>
          <cell r="P80">
            <v>7.9124E-2</v>
          </cell>
          <cell r="Q80">
            <v>7.9147999999999996E-2</v>
          </cell>
          <cell r="R80">
            <v>7.9235E-2</v>
          </cell>
          <cell r="S80">
            <v>7.8700000000000006E-2</v>
          </cell>
          <cell r="T80">
            <v>7.9249E-2</v>
          </cell>
          <cell r="U80">
            <v>7.9228809999999997E-2</v>
          </cell>
          <cell r="V80">
            <v>8.2299999999999998E-2</v>
          </cell>
          <cell r="W80">
            <v>8.2400000000000001E-2</v>
          </cell>
          <cell r="X80">
            <v>8.1699999999999995E-2</v>
          </cell>
          <cell r="Y80">
            <v>8.4029999999999994E-2</v>
          </cell>
          <cell r="Z80">
            <v>8.5313200000000006E-2</v>
          </cell>
          <cell r="AA80">
            <v>8.5500000000000007E-2</v>
          </cell>
          <cell r="AB80">
            <v>8.9599999999999999E-2</v>
          </cell>
          <cell r="AC80">
            <v>9.1800000000000007E-2</v>
          </cell>
          <cell r="AD80">
            <v>9.8570000000000005E-2</v>
          </cell>
          <cell r="AE80">
            <v>9.7500000000000003E-2</v>
          </cell>
          <cell r="AF80">
            <v>0.1089</v>
          </cell>
          <cell r="AG80">
            <v>0.1109</v>
          </cell>
          <cell r="AH80">
            <v>0.11990000000000001</v>
          </cell>
          <cell r="AI80">
            <v>0.1182</v>
          </cell>
          <cell r="AJ80">
            <v>0.125</v>
          </cell>
          <cell r="AK80">
            <v>0.12659999999999999</v>
          </cell>
          <cell r="AL80">
            <v>0.12809999999999999</v>
          </cell>
          <cell r="AM80">
            <v>0.13800000000000001</v>
          </cell>
          <cell r="AN80">
            <v>0.1426</v>
          </cell>
          <cell r="AO80">
            <v>0.14332</v>
          </cell>
          <cell r="AP80">
            <v>0.14430000000000001</v>
          </cell>
          <cell r="AQ80">
            <v>0.15160000000000001</v>
          </cell>
          <cell r="AR80">
            <v>0.159</v>
          </cell>
          <cell r="AS80">
            <v>0.16539999999999999</v>
          </cell>
          <cell r="AT80">
            <v>0.16974</v>
          </cell>
          <cell r="AU80">
            <v>0.172926</v>
          </cell>
          <cell r="AV80">
            <v>0.17299999999999999</v>
          </cell>
          <cell r="AW80">
            <v>0.186</v>
          </cell>
          <cell r="AX80">
            <v>0.192</v>
          </cell>
          <cell r="AY80">
            <v>0.19800000000000001</v>
          </cell>
          <cell r="AZ80">
            <v>0.1981</v>
          </cell>
          <cell r="BA80">
            <v>0.1983</v>
          </cell>
          <cell r="BB80">
            <v>0.20399999999999999</v>
          </cell>
          <cell r="BC80">
            <v>0.20899999999999999</v>
          </cell>
          <cell r="BD80">
            <v>0.21093999999999999</v>
          </cell>
          <cell r="BE80">
            <v>0.22600000000000001</v>
          </cell>
          <cell r="BF80">
            <v>0.21959999999999999</v>
          </cell>
          <cell r="BG80">
            <v>0.22989999999999999</v>
          </cell>
          <cell r="BH80">
            <v>0.22900999999999999</v>
          </cell>
          <cell r="BI80">
            <v>0.2293</v>
          </cell>
          <cell r="BJ80">
            <v>0.2306</v>
          </cell>
          <cell r="BK80">
            <v>0.23200000000000001</v>
          </cell>
          <cell r="BL80">
            <v>0.2351</v>
          </cell>
          <cell r="BM80">
            <v>0.23699999999999999</v>
          </cell>
          <cell r="BN80">
            <v>0.24138000000000001</v>
          </cell>
          <cell r="BO80">
            <v>0.24298</v>
          </cell>
          <cell r="BP80">
            <v>0.24229999999999999</v>
          </cell>
          <cell r="BQ80">
            <v>0.247</v>
          </cell>
          <cell r="BR80">
            <v>0.24812000000000001</v>
          </cell>
          <cell r="BS80">
            <v>0.2505</v>
          </cell>
          <cell r="BT80">
            <v>0.25119999999999998</v>
          </cell>
          <cell r="BU80">
            <v>0.25328400000000001</v>
          </cell>
          <cell r="BV80">
            <v>0.25340000000000001</v>
          </cell>
          <cell r="BW80">
            <v>0.25635599999999997</v>
          </cell>
          <cell r="BX80">
            <v>0.25700000000000001</v>
          </cell>
          <cell r="BY80">
            <v>0.25900000000000001</v>
          </cell>
          <cell r="BZ80">
            <v>0.26100000000000001</v>
          </cell>
          <cell r="CA80">
            <v>0.26279999999999998</v>
          </cell>
          <cell r="CB80">
            <v>0.26434999999999997</v>
          </cell>
          <cell r="CC80">
            <v>0.26440000000000002</v>
          </cell>
          <cell r="CD80">
            <v>0.26490000000000002</v>
          </cell>
          <cell r="CE80">
            <v>0.26400000000000001</v>
          </cell>
          <cell r="CF80">
            <v>0.26643</v>
          </cell>
          <cell r="CG80">
            <v>0.27100000000000002</v>
          </cell>
          <cell r="CH80">
            <v>0.27250000000000002</v>
          </cell>
          <cell r="CI80">
            <v>0.27300000000000002</v>
          </cell>
          <cell r="CJ80">
            <v>0.27260000000000001</v>
          </cell>
          <cell r="CK80">
            <v>0.27150000000000002</v>
          </cell>
          <cell r="CL80">
            <v>0.26900000000000002</v>
          </cell>
          <cell r="CM80">
            <v>0.26850000000000002</v>
          </cell>
          <cell r="CN80">
            <v>0.26979999999999998</v>
          </cell>
          <cell r="CO80">
            <v>0.26700000000000002</v>
          </cell>
          <cell r="CP80">
            <v>0.26900000000000002</v>
          </cell>
          <cell r="CQ80">
            <v>0.26950000000000002</v>
          </cell>
          <cell r="CR80">
            <v>0.27</v>
          </cell>
          <cell r="CS80">
            <v>0.27200000000000002</v>
          </cell>
          <cell r="CT80">
            <v>0.27200000000000002</v>
          </cell>
          <cell r="CU80">
            <v>0.27300000000000002</v>
          </cell>
          <cell r="CV80">
            <v>0.27400000000000002</v>
          </cell>
          <cell r="CW80">
            <v>0.27200000000000002</v>
          </cell>
          <cell r="CX80">
            <v>0.27900000000000003</v>
          </cell>
          <cell r="CY80">
            <v>0.27900000000000003</v>
          </cell>
        </row>
        <row r="81">
          <cell r="A81">
            <v>6.59E-2</v>
          </cell>
          <cell r="B81">
            <v>6.0999999999999999E-2</v>
          </cell>
          <cell r="C81">
            <v>6.8000000000000005E-2</v>
          </cell>
          <cell r="D81">
            <v>7.1599999999999997E-2</v>
          </cell>
          <cell r="E81">
            <v>7.2603000000000001E-2</v>
          </cell>
          <cell r="F81">
            <v>7.3679999999999995E-2</v>
          </cell>
          <cell r="G81">
            <v>7.6999999999999999E-2</v>
          </cell>
          <cell r="H81">
            <v>7.6399999999999996E-2</v>
          </cell>
          <cell r="I81">
            <v>7.639E-2</v>
          </cell>
          <cell r="J81">
            <v>7.6850000000000002E-2</v>
          </cell>
          <cell r="K81">
            <v>7.6340000000000005E-2</v>
          </cell>
          <cell r="L81">
            <v>7.6660000000000006E-2</v>
          </cell>
          <cell r="M81">
            <v>8.6540000000000006E-2</v>
          </cell>
          <cell r="N81">
            <v>8.7800000000000003E-2</v>
          </cell>
          <cell r="O81">
            <v>8.6730000000000002E-2</v>
          </cell>
          <cell r="P81">
            <v>9.6769999999999995E-2</v>
          </cell>
          <cell r="Q81">
            <v>8.4599999999999995E-2</v>
          </cell>
          <cell r="R81">
            <v>8.7120000000000003E-2</v>
          </cell>
          <cell r="S81">
            <v>8.6499999999999994E-2</v>
          </cell>
          <cell r="T81">
            <v>8.6730000000000002E-2</v>
          </cell>
          <cell r="U81">
            <v>8.7120000000000003E-2</v>
          </cell>
          <cell r="V81">
            <v>8.7359999999999993E-2</v>
          </cell>
          <cell r="W81">
            <v>8.6940000000000003E-2</v>
          </cell>
          <cell r="X81">
            <v>8.7639999999999996E-2</v>
          </cell>
          <cell r="Y81">
            <v>8.7309999999999999E-2</v>
          </cell>
          <cell r="Z81">
            <v>8.7620000000000003E-2</v>
          </cell>
          <cell r="AA81">
            <v>9.06E-2</v>
          </cell>
          <cell r="AB81">
            <v>9.1777999999999998E-2</v>
          </cell>
          <cell r="AC81">
            <v>9.2899999999999996E-2</v>
          </cell>
          <cell r="AD81">
            <v>9.8799999999999999E-2</v>
          </cell>
          <cell r="AE81">
            <v>9.7210000000000005E-2</v>
          </cell>
          <cell r="AF81">
            <v>9.8799999999999999E-2</v>
          </cell>
          <cell r="AG81">
            <v>9.6299999999999997E-2</v>
          </cell>
          <cell r="AH81">
            <v>9.4299999999999995E-2</v>
          </cell>
          <cell r="AI81">
            <v>0.1008</v>
          </cell>
          <cell r="AJ81">
            <v>0.1052</v>
          </cell>
          <cell r="AK81">
            <v>0.111</v>
          </cell>
          <cell r="AL81">
            <v>0.11749999999999999</v>
          </cell>
          <cell r="AM81">
            <v>0.11849999999999999</v>
          </cell>
          <cell r="AN81">
            <v>0.1211</v>
          </cell>
          <cell r="AO81">
            <v>0.125</v>
          </cell>
          <cell r="AP81">
            <v>0.1298</v>
          </cell>
          <cell r="AQ81">
            <v>0.1283</v>
          </cell>
          <cell r="AR81">
            <v>0.13</v>
          </cell>
          <cell r="AS81">
            <v>0.13400000000000001</v>
          </cell>
          <cell r="AT81">
            <v>0.14199999999999999</v>
          </cell>
          <cell r="AU81">
            <v>0.151</v>
          </cell>
          <cell r="AV81">
            <v>0.153</v>
          </cell>
          <cell r="AW81">
            <v>0.158</v>
          </cell>
          <cell r="AX81">
            <v>0.1598</v>
          </cell>
          <cell r="AY81">
            <v>0.16200000000000001</v>
          </cell>
          <cell r="AZ81">
            <v>0.16500000000000001</v>
          </cell>
          <cell r="BA81">
            <v>0.16800000000000001</v>
          </cell>
          <cell r="BB81">
            <v>0.17100000000000001</v>
          </cell>
          <cell r="BC81">
            <v>0.17899999999999999</v>
          </cell>
          <cell r="BD81">
            <v>0.18049999999999999</v>
          </cell>
          <cell r="BE81">
            <v>0.181557</v>
          </cell>
          <cell r="BF81">
            <v>0.188</v>
          </cell>
          <cell r="BG81">
            <v>0.18690000000000001</v>
          </cell>
          <cell r="BH81">
            <v>0.18754999999999999</v>
          </cell>
          <cell r="BI81">
            <v>0.18609999999999999</v>
          </cell>
          <cell r="BJ81">
            <v>0.19162000000000001</v>
          </cell>
          <cell r="BK81">
            <v>0.19209999999999999</v>
          </cell>
          <cell r="BL81">
            <v>0.19409999999999999</v>
          </cell>
          <cell r="BM81">
            <v>0.1928</v>
          </cell>
          <cell r="BN81">
            <v>0.19664999999999999</v>
          </cell>
          <cell r="BO81">
            <v>0.19614000000000001</v>
          </cell>
          <cell r="BP81">
            <v>0.19675000000000001</v>
          </cell>
          <cell r="BQ81">
            <v>0.1966</v>
          </cell>
          <cell r="BR81">
            <v>0.1988</v>
          </cell>
          <cell r="BS81">
            <v>0.20100000000000001</v>
          </cell>
          <cell r="BT81">
            <v>0.20710999999999999</v>
          </cell>
          <cell r="BU81">
            <v>0.20713000000000001</v>
          </cell>
          <cell r="BV81">
            <v>0.20723</v>
          </cell>
          <cell r="BW81">
            <v>0.20759</v>
          </cell>
          <cell r="BX81">
            <v>0.21052999999999999</v>
          </cell>
          <cell r="BY81">
            <v>0.21379999999999999</v>
          </cell>
          <cell r="BZ81">
            <v>0.21759000000000001</v>
          </cell>
          <cell r="CA81">
            <v>0.21751000000000001</v>
          </cell>
          <cell r="CB81">
            <v>0.21734000000000001</v>
          </cell>
          <cell r="CC81">
            <v>0.21714</v>
          </cell>
          <cell r="CD81">
            <v>0.21731</v>
          </cell>
          <cell r="CE81">
            <v>0.218</v>
          </cell>
          <cell r="CF81">
            <v>0.21718000000000001</v>
          </cell>
          <cell r="CG81">
            <v>0.21751999999999999</v>
          </cell>
          <cell r="CH81">
            <v>0.21745999999999999</v>
          </cell>
          <cell r="CI81">
            <v>0.21740999999999999</v>
          </cell>
          <cell r="CJ81">
            <v>0.21767</v>
          </cell>
          <cell r="CK81">
            <v>0.21768000000000001</v>
          </cell>
          <cell r="CL81">
            <v>0.21806</v>
          </cell>
          <cell r="CM81">
            <v>0.21776999999999999</v>
          </cell>
          <cell r="CN81">
            <v>0.21789</v>
          </cell>
          <cell r="CO81">
            <v>0.21770999999999999</v>
          </cell>
          <cell r="CP81">
            <v>0.21812999999999999</v>
          </cell>
          <cell r="CQ81">
            <v>0.21790000000000001</v>
          </cell>
          <cell r="CR81">
            <v>0.21795</v>
          </cell>
          <cell r="CS81">
            <v>0.21798999999999999</v>
          </cell>
          <cell r="CT81">
            <v>0.21831</v>
          </cell>
          <cell r="CU81">
            <v>0.21826999999999999</v>
          </cell>
          <cell r="CV81">
            <v>0.21833</v>
          </cell>
          <cell r="CW81">
            <v>0.219</v>
          </cell>
          <cell r="CX81">
            <v>0.219</v>
          </cell>
          <cell r="CY81">
            <v>0.2276</v>
          </cell>
        </row>
        <row r="82">
          <cell r="A82">
            <v>7.2599999999999998E-2</v>
          </cell>
          <cell r="B82">
            <v>7.0800000000000002E-2</v>
          </cell>
          <cell r="C82">
            <v>7.8399999999999997E-2</v>
          </cell>
          <cell r="D82">
            <v>6.9699999999999998E-2</v>
          </cell>
          <cell r="E82">
            <v>7.0599999999999996E-2</v>
          </cell>
          <cell r="F82">
            <v>7.46E-2</v>
          </cell>
          <cell r="G82">
            <v>6.6000000000000003E-2</v>
          </cell>
          <cell r="H82">
            <v>6.7470000000000002E-2</v>
          </cell>
          <cell r="I82">
            <v>6.7559999999999995E-2</v>
          </cell>
          <cell r="J82">
            <v>7.6809000000000002E-2</v>
          </cell>
          <cell r="K82">
            <v>7.6100000000000001E-2</v>
          </cell>
          <cell r="L82">
            <v>7.3899999999999993E-2</v>
          </cell>
          <cell r="M82">
            <v>7.46E-2</v>
          </cell>
          <cell r="N82">
            <v>8.4000000000000005E-2</v>
          </cell>
          <cell r="O82">
            <v>8.6400000000000005E-2</v>
          </cell>
          <cell r="P82">
            <v>8.3000000000000004E-2</v>
          </cell>
          <cell r="Q82">
            <v>8.7999999999999995E-2</v>
          </cell>
          <cell r="R82">
            <v>8.9800000000000005E-2</v>
          </cell>
          <cell r="S82">
            <v>9.1600000000000001E-2</v>
          </cell>
          <cell r="T82">
            <v>9.1777999999999998E-2</v>
          </cell>
          <cell r="U82">
            <v>9.1828000000000007E-2</v>
          </cell>
          <cell r="V82">
            <v>9.2840000000000006E-2</v>
          </cell>
          <cell r="W82">
            <v>9.3770000000000006E-2</v>
          </cell>
          <cell r="X82">
            <v>9.3460000000000001E-2</v>
          </cell>
          <cell r="Y82">
            <v>9.4E-2</v>
          </cell>
          <cell r="Z82">
            <v>9.8100000000000007E-2</v>
          </cell>
          <cell r="AA82">
            <v>9.8000000000000004E-2</v>
          </cell>
          <cell r="AB82">
            <v>9.9835999999999994E-2</v>
          </cell>
          <cell r="AC82">
            <v>0.1037</v>
          </cell>
          <cell r="AD82">
            <v>0.10872999999999999</v>
          </cell>
          <cell r="AE82">
            <v>0.10807</v>
          </cell>
          <cell r="AF82">
            <v>0.10861999999999999</v>
          </cell>
          <cell r="AG82">
            <v>0.10865</v>
          </cell>
          <cell r="AH82">
            <v>0.10829999999999999</v>
          </cell>
          <cell r="AI82">
            <v>0.10818999999999999</v>
          </cell>
          <cell r="AJ82">
            <v>0.10842</v>
          </cell>
          <cell r="AK82">
            <v>0.10920000000000001</v>
          </cell>
          <cell r="AL82">
            <v>0.10907</v>
          </cell>
          <cell r="AM82">
            <v>0.10922999999999999</v>
          </cell>
          <cell r="AN82">
            <v>0.1109</v>
          </cell>
          <cell r="AO82">
            <v>0.11236</v>
          </cell>
          <cell r="AP82">
            <v>0.11360000000000001</v>
          </cell>
          <cell r="AQ82">
            <v>0.1186</v>
          </cell>
          <cell r="AR82">
            <v>0.11859</v>
          </cell>
          <cell r="AS82">
            <v>0.11856</v>
          </cell>
          <cell r="AT82">
            <v>0.11909</v>
          </cell>
          <cell r="AU82">
            <v>0.1217</v>
          </cell>
          <cell r="AV82">
            <v>0.1258</v>
          </cell>
          <cell r="AW82">
            <v>0.12911</v>
          </cell>
          <cell r="AX82">
            <v>0.12987000000000001</v>
          </cell>
          <cell r="AY82">
            <v>0.13078999999999999</v>
          </cell>
          <cell r="AZ82">
            <v>0.13894000000000001</v>
          </cell>
          <cell r="BA82">
            <v>0.13966000000000001</v>
          </cell>
          <cell r="BB82">
            <v>0.14384</v>
          </cell>
          <cell r="BC82">
            <v>0.14610000000000001</v>
          </cell>
          <cell r="BD82">
            <v>0.14799999999999999</v>
          </cell>
          <cell r="BE82">
            <v>0.14899999999999999</v>
          </cell>
          <cell r="BF82">
            <v>0.15198</v>
          </cell>
          <cell r="BG82">
            <v>0.15959999999999999</v>
          </cell>
          <cell r="BH82">
            <v>0.16009999999999999</v>
          </cell>
          <cell r="BI82">
            <v>0.159</v>
          </cell>
          <cell r="BJ82">
            <v>0.16241</v>
          </cell>
          <cell r="BK82">
            <v>0.16300000000000001</v>
          </cell>
          <cell r="BL82">
            <v>0.16414000000000001</v>
          </cell>
          <cell r="BM82">
            <v>0.16489999999999999</v>
          </cell>
          <cell r="BN82">
            <v>0.1633</v>
          </cell>
          <cell r="BO82">
            <v>0.16800000000000001</v>
          </cell>
          <cell r="BP82">
            <v>0.1678</v>
          </cell>
          <cell r="BQ82">
            <v>0.17050000000000001</v>
          </cell>
          <cell r="BR82">
            <v>0.17082</v>
          </cell>
          <cell r="BS82">
            <v>0.17083999999999999</v>
          </cell>
          <cell r="BT82">
            <v>0.17599999999999999</v>
          </cell>
          <cell r="BU82">
            <v>0.1769</v>
          </cell>
          <cell r="BV82">
            <v>0.17085</v>
          </cell>
          <cell r="BW82">
            <v>0.1757</v>
          </cell>
          <cell r="BX82">
            <v>0.1782</v>
          </cell>
          <cell r="BY82">
            <v>0.18110000000000001</v>
          </cell>
          <cell r="BZ82">
            <v>0.18107999999999999</v>
          </cell>
          <cell r="CA82">
            <v>0.18079999999999999</v>
          </cell>
          <cell r="CB82">
            <v>0.18092</v>
          </cell>
          <cell r="CC82">
            <v>0.18089</v>
          </cell>
          <cell r="CD82">
            <v>0.18106</v>
          </cell>
          <cell r="CE82">
            <v>0.18138000000000001</v>
          </cell>
          <cell r="CF82">
            <v>0.18079999999999999</v>
          </cell>
          <cell r="CG82">
            <v>0.18093000000000001</v>
          </cell>
          <cell r="CH82">
            <v>0.18106</v>
          </cell>
          <cell r="CI82">
            <v>0.19087000000000001</v>
          </cell>
          <cell r="CJ82">
            <v>0.19072</v>
          </cell>
          <cell r="CK82">
            <v>0.19117000000000001</v>
          </cell>
          <cell r="CL82">
            <v>0.18909000000000001</v>
          </cell>
          <cell r="CM82">
            <v>0.18809999999999999</v>
          </cell>
          <cell r="CN82">
            <v>0.18831000000000001</v>
          </cell>
          <cell r="CO82">
            <v>0.18704999999999999</v>
          </cell>
          <cell r="CP82">
            <v>0.18847</v>
          </cell>
          <cell r="CQ82">
            <v>0.18679999999999999</v>
          </cell>
          <cell r="CR82">
            <v>0.19137000000000001</v>
          </cell>
          <cell r="CS82">
            <v>0.1915</v>
          </cell>
          <cell r="CT82">
            <v>0.19142000000000001</v>
          </cell>
          <cell r="CU82">
            <v>0.19128000000000001</v>
          </cell>
          <cell r="CV82">
            <v>0.19131999999999999</v>
          </cell>
          <cell r="CW82">
            <v>0.19142999999999999</v>
          </cell>
          <cell r="CX82">
            <v>0.191</v>
          </cell>
          <cell r="CY82">
            <v>0.188</v>
          </cell>
        </row>
        <row r="88">
          <cell r="A88">
            <v>6.1199999999999997E-2</v>
          </cell>
          <cell r="B88">
            <v>6.1400000000000003E-2</v>
          </cell>
          <cell r="C88">
            <v>6.1699999999999998E-2</v>
          </cell>
          <cell r="D88">
            <v>6.4100000000000004E-2</v>
          </cell>
          <cell r="E88">
            <v>6.8000000000000005E-2</v>
          </cell>
          <cell r="F88">
            <v>7.0999999999999994E-2</v>
          </cell>
          <cell r="G88">
            <v>7.5499999999999998E-2</v>
          </cell>
          <cell r="H88">
            <v>7.9200000000000007E-2</v>
          </cell>
          <cell r="I88">
            <v>7.9100000000000004E-2</v>
          </cell>
          <cell r="J88">
            <v>7.9899999999999999E-2</v>
          </cell>
          <cell r="K88">
            <v>7.8850000000000003E-2</v>
          </cell>
          <cell r="L88">
            <v>8.4400000000000003E-2</v>
          </cell>
          <cell r="M88">
            <v>8.5000000000000006E-2</v>
          </cell>
          <cell r="N88">
            <v>8.3599999999999994E-2</v>
          </cell>
          <cell r="O88">
            <v>8.7300000000000003E-2</v>
          </cell>
          <cell r="P88">
            <v>8.924E-2</v>
          </cell>
          <cell r="Q88">
            <v>8.7480000000000002E-2</v>
          </cell>
          <cell r="R88">
            <v>8.8499999999999995E-2</v>
          </cell>
          <cell r="S88">
            <v>8.8700000000000001E-2</v>
          </cell>
          <cell r="T88">
            <v>8.949E-2</v>
          </cell>
          <cell r="U88">
            <v>9.0999999999999998E-2</v>
          </cell>
          <cell r="V88">
            <v>9.4320000000000001E-2</v>
          </cell>
          <cell r="W88">
            <v>9.4399999999999998E-2</v>
          </cell>
          <cell r="X88">
            <v>0.107</v>
          </cell>
          <cell r="Y88">
            <v>0.111</v>
          </cell>
          <cell r="Z88">
            <v>0.12</v>
          </cell>
          <cell r="AA88">
            <v>0.1255</v>
          </cell>
          <cell r="AB88">
            <v>0.1396</v>
          </cell>
          <cell r="AC88">
            <v>0.13800000000000001</v>
          </cell>
          <cell r="AD88">
            <v>0.14699999999999999</v>
          </cell>
          <cell r="AE88">
            <v>0.14760000000000001</v>
          </cell>
          <cell r="AF88">
            <v>0.1489</v>
          </cell>
          <cell r="AG88">
            <v>0.1565</v>
          </cell>
          <cell r="AH88">
            <v>0.16200000000000001</v>
          </cell>
          <cell r="AI88">
            <v>0.17499999999999999</v>
          </cell>
          <cell r="AJ88">
            <v>0.17949999999999999</v>
          </cell>
          <cell r="AK88">
            <v>0.186</v>
          </cell>
          <cell r="AL88">
            <v>0.191</v>
          </cell>
          <cell r="AM88">
            <v>0.20100000000000001</v>
          </cell>
          <cell r="AN88">
            <v>0.20599999999999999</v>
          </cell>
          <cell r="AO88">
            <v>0.21032000000000001</v>
          </cell>
          <cell r="AP88">
            <v>0.21299999999999999</v>
          </cell>
          <cell r="AQ88">
            <v>0.21836</v>
          </cell>
          <cell r="AR88">
            <v>0.22500000000000001</v>
          </cell>
          <cell r="AS88">
            <v>0.22339999999999999</v>
          </cell>
          <cell r="AT88">
            <v>0.22939999999999999</v>
          </cell>
          <cell r="AU88">
            <v>0.2316</v>
          </cell>
          <cell r="AV88">
            <v>0.2349</v>
          </cell>
          <cell r="AW88">
            <v>0.246</v>
          </cell>
          <cell r="AX88">
            <v>0.247</v>
          </cell>
          <cell r="AY88">
            <v>0.25019999999999998</v>
          </cell>
          <cell r="AZ88">
            <v>0.25700000000000001</v>
          </cell>
          <cell r="BA88">
            <v>0.26</v>
          </cell>
          <cell r="BB88">
            <v>0.26700000000000002</v>
          </cell>
          <cell r="BC88">
            <v>0.27060000000000001</v>
          </cell>
          <cell r="BD88">
            <v>0.27939999999999998</v>
          </cell>
          <cell r="BE88">
            <v>0.28199999999999997</v>
          </cell>
          <cell r="BF88">
            <v>0.28410000000000002</v>
          </cell>
          <cell r="BG88">
            <v>0.28599999999999998</v>
          </cell>
          <cell r="BH88">
            <v>0.28889999999999999</v>
          </cell>
          <cell r="BI88">
            <v>0.2843</v>
          </cell>
          <cell r="BJ88">
            <v>0.29099999999999998</v>
          </cell>
          <cell r="BK88">
            <v>0.29199999999999998</v>
          </cell>
          <cell r="BL88">
            <v>0.29310000000000003</v>
          </cell>
          <cell r="BM88">
            <v>0.29310000000000003</v>
          </cell>
          <cell r="BN88">
            <v>0.29380000000000001</v>
          </cell>
          <cell r="BO88">
            <v>0.29677999999999999</v>
          </cell>
          <cell r="BP88">
            <v>0.29899999999999999</v>
          </cell>
          <cell r="BQ88">
            <v>0.30399999999999999</v>
          </cell>
          <cell r="BR88">
            <v>0.30199999999999999</v>
          </cell>
          <cell r="BS88">
            <v>0.30499999999999999</v>
          </cell>
          <cell r="BT88">
            <v>0.30819999999999997</v>
          </cell>
          <cell r="BU88">
            <v>0.307</v>
          </cell>
          <cell r="BV88">
            <v>0.31</v>
          </cell>
          <cell r="BW88">
            <v>0.309</v>
          </cell>
          <cell r="BX88">
            <v>0.31140000000000001</v>
          </cell>
          <cell r="BY88">
            <v>0.312</v>
          </cell>
          <cell r="BZ88">
            <v>0.312</v>
          </cell>
          <cell r="CA88">
            <v>0.313</v>
          </cell>
          <cell r="CB88">
            <v>0.312</v>
          </cell>
          <cell r="CC88">
            <v>0.314</v>
          </cell>
          <cell r="CD88">
            <v>0.315</v>
          </cell>
          <cell r="CE88">
            <v>0.316</v>
          </cell>
          <cell r="CF88">
            <v>0.31540000000000001</v>
          </cell>
          <cell r="CG88">
            <v>0.316</v>
          </cell>
          <cell r="CH88">
            <v>0.316</v>
          </cell>
          <cell r="CI88">
            <v>0.314</v>
          </cell>
          <cell r="CJ88">
            <v>0.315</v>
          </cell>
          <cell r="CK88">
            <v>0.31900000000000001</v>
          </cell>
          <cell r="CL88">
            <v>0.32</v>
          </cell>
          <cell r="CM88">
            <v>0.31900000000000001</v>
          </cell>
          <cell r="CN88">
            <v>0.31559999999999999</v>
          </cell>
          <cell r="CO88">
            <v>0.31609999999999999</v>
          </cell>
          <cell r="CP88">
            <v>0.31780000000000003</v>
          </cell>
          <cell r="CQ88">
            <v>0.31709999999999999</v>
          </cell>
          <cell r="CR88">
            <v>0.319936</v>
          </cell>
          <cell r="CS88">
            <v>0.32190000000000002</v>
          </cell>
          <cell r="CT88">
            <v>0.32052000000000003</v>
          </cell>
          <cell r="CU88">
            <v>0.32074999999999998</v>
          </cell>
          <cell r="CV88">
            <v>0.31969999999999998</v>
          </cell>
          <cell r="CW88">
            <v>0.31819999999999998</v>
          </cell>
          <cell r="CX88">
            <v>0.31609999999999999</v>
          </cell>
          <cell r="CY88">
            <v>0.32066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2">
          <cell r="B2" t="str">
            <v>Cherry</v>
          </cell>
          <cell r="F2">
            <v>0.31913983966666665</v>
          </cell>
          <cell r="G2">
            <v>1.7481092856123447E-2</v>
          </cell>
          <cell r="M2">
            <v>0.31420271196666666</v>
          </cell>
          <cell r="N2">
            <v>2.5531439536902047E-2</v>
          </cell>
        </row>
        <row r="3">
          <cell r="B3" t="str">
            <v>NMNAT2</v>
          </cell>
          <cell r="F3">
            <v>0.78533575846666659</v>
          </cell>
          <cell r="G3">
            <v>2.6705346410422676E-2</v>
          </cell>
          <cell r="M3">
            <v>0.88039895851033334</v>
          </cell>
          <cell r="N3">
            <v>2.497894317621295E-2</v>
          </cell>
        </row>
        <row r="4">
          <cell r="B4" t="str">
            <v>C164/C165</v>
          </cell>
          <cell r="F4">
            <v>1.5241936108133334</v>
          </cell>
          <cell r="G4">
            <v>0.15070416689775556</v>
          </cell>
          <cell r="M4">
            <v>1.2022535350699999</v>
          </cell>
          <cell r="N4">
            <v>5.1231568988877818E-2</v>
          </cell>
        </row>
        <row r="5">
          <cell r="B5" t="str">
            <v>ED</v>
          </cell>
          <cell r="F5">
            <v>0.29695432516666664</v>
          </cell>
          <cell r="G5">
            <v>6.4914873306269414E-3</v>
          </cell>
          <cell r="M5">
            <v>0.28521352500000002</v>
          </cell>
          <cell r="N5">
            <v>1.7022846952429119E-2</v>
          </cell>
        </row>
        <row r="6">
          <cell r="B6" t="str">
            <v>NTD</v>
          </cell>
          <cell r="F6">
            <v>0.2910865153333333</v>
          </cell>
          <cell r="G6">
            <v>2.8665529696147326E-2</v>
          </cell>
          <cell r="M6">
            <v>0.28239250466666665</v>
          </cell>
          <cell r="N6">
            <v>3.4024917189214986E-2</v>
          </cell>
        </row>
        <row r="7">
          <cell r="B7" t="str">
            <v>CTD</v>
          </cell>
          <cell r="F7">
            <v>0.80896913433333328</v>
          </cell>
          <cell r="G7">
            <v>1.6795798070531658E-2</v>
          </cell>
          <cell r="M7">
            <v>0.8212258280000001</v>
          </cell>
          <cell r="N7">
            <v>4.1100430203526696E-2</v>
          </cell>
        </row>
        <row r="8">
          <cell r="B8" t="str">
            <v>CATP</v>
          </cell>
          <cell r="F8">
            <v>0.8113296533333334</v>
          </cell>
          <cell r="G8">
            <v>4.0487417038232186E-2</v>
          </cell>
          <cell r="M8">
            <v>0.83300291100000001</v>
          </cell>
          <cell r="N8">
            <v>3.0224522759490047E-2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"/>
      <sheetName val="01272015"/>
      <sheetName val="01272015 (Chaperone Assay)"/>
      <sheetName val="01292015"/>
    </sheetNames>
    <sheetDataSet>
      <sheetData sheetId="0" refreshError="1"/>
      <sheetData sheetId="1">
        <row r="33">
          <cell r="D33" t="str">
            <v>No ppase</v>
          </cell>
          <cell r="F33" t="str">
            <v>ppase</v>
          </cell>
        </row>
        <row r="34">
          <cell r="E34">
            <v>3.345922892118109E-2</v>
          </cell>
          <cell r="G34">
            <v>5.6742883254201987E-2</v>
          </cell>
        </row>
        <row r="35">
          <cell r="E35">
            <v>2.807829826277463E-2</v>
          </cell>
          <cell r="G35">
            <v>1.4001101147171719E-2</v>
          </cell>
        </row>
        <row r="36">
          <cell r="E36">
            <v>2.3065414224187217E-2</v>
          </cell>
          <cell r="G36">
            <v>7.4993253676580773E-2</v>
          </cell>
        </row>
        <row r="37">
          <cell r="E37">
            <v>4.2837285258677825E-2</v>
          </cell>
          <cell r="G37">
            <v>1.6723956629139336E-2</v>
          </cell>
        </row>
        <row r="38">
          <cell r="E38">
            <v>6.6819183872098661E-2</v>
          </cell>
          <cell r="G38">
            <v>1.813128052105905E-2</v>
          </cell>
        </row>
        <row r="40">
          <cell r="E40">
            <v>1.8576823876360921E-2</v>
          </cell>
          <cell r="G40">
            <v>2.4989417787002033E-2</v>
          </cell>
        </row>
        <row r="41">
          <cell r="E41">
            <v>1.4179397025261657E-2</v>
          </cell>
          <cell r="G41">
            <v>2.4100631874496528E-2</v>
          </cell>
        </row>
        <row r="42">
          <cell r="E42">
            <v>2.2461376829571254E-2</v>
          </cell>
          <cell r="G42">
            <v>1.5631721475603193E-2</v>
          </cell>
        </row>
        <row r="43">
          <cell r="E43">
            <v>4.5020328741580733E-2</v>
          </cell>
          <cell r="G43">
            <v>0.34233283818529653</v>
          </cell>
        </row>
        <row r="44">
          <cell r="E44">
            <v>0.33716543880848754</v>
          </cell>
          <cell r="G44">
            <v>0.11284911973663474</v>
          </cell>
        </row>
        <row r="45">
          <cell r="E45">
            <v>0.37229156051854606</v>
          </cell>
          <cell r="G45">
            <v>9.1713266942865412E-2</v>
          </cell>
        </row>
        <row r="46">
          <cell r="E46">
            <v>6.1126824171825925E-2</v>
          </cell>
          <cell r="G46">
            <v>7.1859399756283276E-2</v>
          </cell>
        </row>
      </sheetData>
      <sheetData sheetId="2" refreshError="1"/>
      <sheetData sheetId="3">
        <row r="50">
          <cell r="D50" t="str">
            <v>No ppase</v>
          </cell>
        </row>
        <row r="65">
          <cell r="E65">
            <v>4.2860510185173161E-3</v>
          </cell>
          <cell r="G65">
            <v>1.501319752750894E-2</v>
          </cell>
        </row>
        <row r="66">
          <cell r="E66">
            <v>2.490407998702222E-2</v>
          </cell>
          <cell r="G66">
            <v>0.10860004604050588</v>
          </cell>
        </row>
        <row r="67">
          <cell r="E67">
            <v>1.2221065147250167E-2</v>
          </cell>
          <cell r="G67">
            <v>1.3129357689290596E-2</v>
          </cell>
        </row>
        <row r="68">
          <cell r="E68">
            <v>1.047342828304083E-2</v>
          </cell>
          <cell r="G68">
            <v>6.4720025751952071E-2</v>
          </cell>
        </row>
        <row r="69">
          <cell r="E69">
            <v>6.0425610740259296E-2</v>
          </cell>
          <cell r="G69">
            <v>2.8295288182546136E-2</v>
          </cell>
        </row>
        <row r="70">
          <cell r="E70">
            <v>5.5568220561156553E-2</v>
          </cell>
          <cell r="G70">
            <v>0.20663978319771822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opLeftCell="A36" workbookViewId="0">
      <selection activeCell="F73" sqref="F73"/>
    </sheetView>
  </sheetViews>
  <sheetFormatPr baseColWidth="10" defaultRowHeight="16"/>
  <cols>
    <col min="1" max="1" width="20.33203125" customWidth="1"/>
    <col min="2" max="2" width="17.1640625" customWidth="1"/>
    <col min="3" max="3" width="22.5" customWidth="1"/>
  </cols>
  <sheetData>
    <row r="1" spans="1:4" ht="19">
      <c r="A1" s="2" t="s">
        <v>195</v>
      </c>
    </row>
    <row r="2" spans="1:4" ht="19">
      <c r="A2" s="2" t="s">
        <v>0</v>
      </c>
    </row>
    <row r="4" spans="1:4">
      <c r="A4" s="1" t="s">
        <v>1</v>
      </c>
    </row>
    <row r="5" spans="1:4">
      <c r="A5" t="s">
        <v>4</v>
      </c>
      <c r="B5" t="s">
        <v>3</v>
      </c>
      <c r="C5" t="s">
        <v>24</v>
      </c>
      <c r="D5" t="s">
        <v>25</v>
      </c>
    </row>
    <row r="6" spans="1:4">
      <c r="A6">
        <v>1</v>
      </c>
      <c r="B6">
        <v>28329.338</v>
      </c>
      <c r="C6">
        <v>24685.422939495988</v>
      </c>
      <c r="D6">
        <v>24764.070286679515</v>
      </c>
    </row>
    <row r="7" spans="1:4">
      <c r="A7">
        <v>2</v>
      </c>
      <c r="B7">
        <v>29034.852999999999</v>
      </c>
      <c r="C7">
        <v>24702.370758223162</v>
      </c>
      <c r="D7">
        <v>24753.607146202263</v>
      </c>
    </row>
    <row r="8" spans="1:4">
      <c r="A8">
        <v>3</v>
      </c>
      <c r="B8">
        <v>31900.681</v>
      </c>
      <c r="C8">
        <v>20957.679524774663</v>
      </c>
      <c r="D8">
        <v>21108.928066150955</v>
      </c>
    </row>
    <row r="9" spans="1:4">
      <c r="A9">
        <v>4</v>
      </c>
      <c r="B9">
        <v>27250.387999999999</v>
      </c>
      <c r="C9">
        <v>20462.418132407405</v>
      </c>
      <c r="D9">
        <v>21803.086617038152</v>
      </c>
    </row>
    <row r="10" spans="1:4">
      <c r="A10">
        <v>5</v>
      </c>
      <c r="B10">
        <v>29830.438999999998</v>
      </c>
      <c r="C10">
        <v>25975.345602394529</v>
      </c>
      <c r="D10">
        <v>26418.639917005996</v>
      </c>
    </row>
    <row r="11" spans="1:4">
      <c r="A11">
        <v>6</v>
      </c>
      <c r="B11">
        <v>28260.973999999998</v>
      </c>
      <c r="C11">
        <v>23075.863983566793</v>
      </c>
      <c r="D11">
        <v>23548.030023668642</v>
      </c>
    </row>
    <row r="12" spans="1:4">
      <c r="A12">
        <v>7</v>
      </c>
      <c r="B12">
        <v>24652.589</v>
      </c>
      <c r="C12">
        <v>21896.521958056645</v>
      </c>
      <c r="D12">
        <v>22743.570963434315</v>
      </c>
    </row>
    <row r="13" spans="1:4">
      <c r="A13">
        <v>8</v>
      </c>
      <c r="B13">
        <v>23774.811000000002</v>
      </c>
      <c r="C13">
        <v>15405.030566454036</v>
      </c>
      <c r="D13">
        <v>15534.895468694591</v>
      </c>
    </row>
    <row r="15" spans="1:4">
      <c r="A15" t="s">
        <v>6</v>
      </c>
    </row>
    <row r="16" spans="1:4">
      <c r="A16">
        <v>1</v>
      </c>
      <c r="B16">
        <v>8890.7309999999998</v>
      </c>
      <c r="C16">
        <v>8890.7309999999998</v>
      </c>
      <c r="D16">
        <v>12287.371999999999</v>
      </c>
    </row>
    <row r="17" spans="1:4">
      <c r="A17">
        <v>2</v>
      </c>
      <c r="B17">
        <v>11855.581</v>
      </c>
      <c r="C17">
        <v>10782.179248266462</v>
      </c>
      <c r="D17">
        <v>13232.697243665307</v>
      </c>
    </row>
    <row r="18" spans="1:4">
      <c r="A18">
        <v>3</v>
      </c>
      <c r="B18">
        <v>9014.4590000000007</v>
      </c>
      <c r="C18">
        <v>8945.203677178617</v>
      </c>
      <c r="D18">
        <v>12357.659054079035</v>
      </c>
    </row>
    <row r="19" spans="1:4">
      <c r="A19">
        <v>4</v>
      </c>
      <c r="B19">
        <v>7487.1670000000004</v>
      </c>
      <c r="C19">
        <v>6061.506494383987</v>
      </c>
      <c r="D19">
        <v>8655.4061797378727</v>
      </c>
    </row>
    <row r="20" spans="1:4">
      <c r="A20">
        <v>5</v>
      </c>
      <c r="B20">
        <v>10631.388000000001</v>
      </c>
      <c r="C20">
        <v>7647.3914286635554</v>
      </c>
      <c r="D20">
        <v>9669.298431272282</v>
      </c>
    </row>
    <row r="21" spans="1:4">
      <c r="A21">
        <v>6</v>
      </c>
      <c r="B21">
        <v>7777.7110000000002</v>
      </c>
      <c r="C21">
        <v>6360.3416119845679</v>
      </c>
      <c r="D21">
        <v>8185.0836432737633</v>
      </c>
    </row>
    <row r="22" spans="1:4">
      <c r="A22">
        <v>7</v>
      </c>
      <c r="B22">
        <v>14142.245999999999</v>
      </c>
      <c r="C22">
        <v>11608.800222088001</v>
      </c>
      <c r="D22">
        <v>15361.619045020741</v>
      </c>
    </row>
    <row r="23" spans="1:4">
      <c r="A23">
        <v>8</v>
      </c>
      <c r="B23">
        <v>10876.703</v>
      </c>
      <c r="C23">
        <v>7994.2308322174758</v>
      </c>
      <c r="D23">
        <v>8905.9456809225485</v>
      </c>
    </row>
    <row r="25" spans="1:4">
      <c r="A25" t="s">
        <v>7</v>
      </c>
      <c r="B25" t="s">
        <v>3</v>
      </c>
      <c r="C25" t="s">
        <v>26</v>
      </c>
    </row>
    <row r="26" spans="1:4">
      <c r="A26" t="s">
        <v>8</v>
      </c>
      <c r="B26">
        <v>4377.9409999999998</v>
      </c>
      <c r="C26">
        <v>1.147614042078001</v>
      </c>
    </row>
    <row r="27" spans="1:4">
      <c r="A27" t="s">
        <v>9</v>
      </c>
      <c r="B27">
        <v>4483.8909999999996</v>
      </c>
      <c r="C27">
        <v>1.1753873052988082</v>
      </c>
    </row>
    <row r="28" spans="1:4">
      <c r="A28" t="s">
        <v>10</v>
      </c>
      <c r="B28">
        <v>5806.7190000000001</v>
      </c>
      <c r="C28">
        <v>1.5221475718382518</v>
      </c>
    </row>
    <row r="29" spans="1:4">
      <c r="A29" t="s">
        <v>11</v>
      </c>
      <c r="B29">
        <v>5080.3050000000003</v>
      </c>
      <c r="C29">
        <v>1.3317286267766237</v>
      </c>
    </row>
    <row r="30" spans="1:4">
      <c r="A30" t="s">
        <v>12</v>
      </c>
      <c r="B30">
        <v>4380.991</v>
      </c>
      <c r="C30">
        <v>1.1484135555543904</v>
      </c>
    </row>
    <row r="31" spans="1:4">
      <c r="A31" t="s">
        <v>13</v>
      </c>
      <c r="B31">
        <v>4672.0039999999999</v>
      </c>
      <c r="C31">
        <v>1.2246984130312832</v>
      </c>
    </row>
    <row r="32" spans="1:4">
      <c r="A32" t="s">
        <v>14</v>
      </c>
      <c r="B32">
        <v>4294.9830000000002</v>
      </c>
      <c r="C32">
        <v>1.12586779979134</v>
      </c>
    </row>
    <row r="33" spans="1:4">
      <c r="A33" t="s">
        <v>15</v>
      </c>
      <c r="B33">
        <v>5887.4679999999998</v>
      </c>
      <c r="C33">
        <v>1.543314756659554</v>
      </c>
    </row>
    <row r="34" spans="1:4">
      <c r="A34" t="s">
        <v>16</v>
      </c>
      <c r="B34">
        <v>3814.82</v>
      </c>
      <c r="C34">
        <v>1</v>
      </c>
    </row>
    <row r="35" spans="1:4">
      <c r="A35" t="s">
        <v>17</v>
      </c>
      <c r="B35">
        <v>4194.598</v>
      </c>
      <c r="C35">
        <v>1.099553320995486</v>
      </c>
    </row>
    <row r="36" spans="1:4">
      <c r="A36" t="s">
        <v>18</v>
      </c>
      <c r="B36">
        <v>3844.355</v>
      </c>
      <c r="C36">
        <v>1.0077421739426762</v>
      </c>
    </row>
    <row r="37" spans="1:4">
      <c r="A37" t="s">
        <v>19</v>
      </c>
      <c r="B37">
        <v>4712.0619999999999</v>
      </c>
      <c r="C37">
        <v>1.2351990395352861</v>
      </c>
    </row>
    <row r="38" spans="1:4">
      <c r="A38" t="s">
        <v>20</v>
      </c>
      <c r="B38">
        <v>5303.3549999999996</v>
      </c>
      <c r="C38">
        <v>1.3901979647794651</v>
      </c>
    </row>
    <row r="39" spans="1:4">
      <c r="A39" t="s">
        <v>21</v>
      </c>
      <c r="B39">
        <v>4664.933</v>
      </c>
      <c r="C39">
        <v>1.2228448524438897</v>
      </c>
    </row>
    <row r="40" spans="1:4">
      <c r="A40" t="s">
        <v>22</v>
      </c>
      <c r="B40">
        <v>4647.3469999999998</v>
      </c>
      <c r="C40">
        <v>1.218234936379698</v>
      </c>
    </row>
    <row r="41" spans="1:4">
      <c r="A41" t="s">
        <v>23</v>
      </c>
      <c r="B41">
        <v>5190.326</v>
      </c>
      <c r="C41">
        <v>1.3605690438867364</v>
      </c>
    </row>
    <row r="44" spans="1:4">
      <c r="A44" s="1" t="s">
        <v>27</v>
      </c>
    </row>
    <row r="45" spans="1:4">
      <c r="A45" t="s">
        <v>2</v>
      </c>
      <c r="B45" t="s">
        <v>3</v>
      </c>
      <c r="C45" t="s">
        <v>24</v>
      </c>
    </row>
    <row r="46" spans="1:4">
      <c r="A46">
        <v>1</v>
      </c>
      <c r="B46">
        <v>451.28399999999999</v>
      </c>
      <c r="C46">
        <v>393.23673591763799</v>
      </c>
      <c r="D46">
        <v>78.6473471835276</v>
      </c>
    </row>
    <row r="47" spans="1:4">
      <c r="A47">
        <v>2</v>
      </c>
      <c r="B47">
        <v>301.113</v>
      </c>
      <c r="C47">
        <v>256.18193989550599</v>
      </c>
      <c r="D47">
        <v>51.236387979101195</v>
      </c>
    </row>
    <row r="48" spans="1:4">
      <c r="A48">
        <v>3</v>
      </c>
      <c r="B48">
        <v>1151.1130000000001</v>
      </c>
      <c r="C48">
        <v>756.2427068814593</v>
      </c>
      <c r="D48">
        <v>151.24854137629185</v>
      </c>
    </row>
    <row r="49" spans="1:4">
      <c r="A49">
        <v>4</v>
      </c>
      <c r="B49">
        <v>8927.0329999999994</v>
      </c>
      <c r="C49">
        <v>6703.3424231537283</v>
      </c>
      <c r="D49">
        <v>1340.6684846307458</v>
      </c>
    </row>
    <row r="50" spans="1:4">
      <c r="A50">
        <v>5</v>
      </c>
      <c r="B50">
        <v>2545.4259999999999</v>
      </c>
      <c r="C50">
        <v>2216.4715730573289</v>
      </c>
      <c r="D50">
        <v>443.29431461146578</v>
      </c>
    </row>
    <row r="51" spans="1:4">
      <c r="A51">
        <v>6</v>
      </c>
      <c r="B51">
        <v>2891.3049999999998</v>
      </c>
      <c r="C51">
        <v>2360.830200509246</v>
      </c>
      <c r="D51">
        <v>472.16604010184921</v>
      </c>
    </row>
    <row r="52" spans="1:4">
      <c r="A52">
        <v>7</v>
      </c>
      <c r="B52">
        <v>4768.326</v>
      </c>
      <c r="C52">
        <v>4235.2450268883485</v>
      </c>
      <c r="D52">
        <v>847.04900537766969</v>
      </c>
    </row>
    <row r="53" spans="1:4">
      <c r="A53">
        <v>8</v>
      </c>
      <c r="B53">
        <v>1002.1121000000001</v>
      </c>
      <c r="C53">
        <v>649.32451120277858</v>
      </c>
      <c r="D53">
        <v>129.86490224055572</v>
      </c>
    </row>
    <row r="55" spans="1:4">
      <c r="A55" t="s">
        <v>5</v>
      </c>
    </row>
    <row r="56" spans="1:4">
      <c r="A56">
        <v>1</v>
      </c>
      <c r="B56">
        <v>16983.205000000002</v>
      </c>
      <c r="C56">
        <v>16983.205000000002</v>
      </c>
      <c r="D56">
        <v>3396.6410000000005</v>
      </c>
    </row>
    <row r="57" spans="1:4">
      <c r="A57">
        <v>2</v>
      </c>
      <c r="B57">
        <v>13472.376</v>
      </c>
      <c r="C57">
        <v>12252.589976994221</v>
      </c>
      <c r="D57">
        <v>2450.5179953988441</v>
      </c>
    </row>
    <row r="58" spans="1:4">
      <c r="A58">
        <v>3</v>
      </c>
      <c r="B58">
        <v>17194.376</v>
      </c>
      <c r="C58">
        <v>17062.276884502084</v>
      </c>
      <c r="D58">
        <v>3412.4553769004169</v>
      </c>
    </row>
    <row r="59" spans="1:4">
      <c r="A59">
        <v>4</v>
      </c>
      <c r="B59">
        <v>16019.912</v>
      </c>
      <c r="C59">
        <v>12969.498426769427</v>
      </c>
      <c r="D59">
        <v>2593.8996853538856</v>
      </c>
    </row>
    <row r="60" spans="1:4">
      <c r="A60">
        <v>5</v>
      </c>
      <c r="B60">
        <v>14054.254999999999</v>
      </c>
      <c r="C60">
        <v>10109.535013043631</v>
      </c>
      <c r="D60">
        <v>2021.9070026087261</v>
      </c>
    </row>
    <row r="61" spans="1:4">
      <c r="A61">
        <v>6</v>
      </c>
      <c r="B61">
        <v>11156.882</v>
      </c>
      <c r="C61">
        <v>9123.7101564459772</v>
      </c>
      <c r="D61">
        <v>1824.7420312891954</v>
      </c>
    </row>
    <row r="62" spans="1:4">
      <c r="A62">
        <v>7</v>
      </c>
      <c r="B62">
        <v>22859.075000000001</v>
      </c>
      <c r="C62">
        <v>18764.094114663701</v>
      </c>
      <c r="D62">
        <v>3752.8188229327402</v>
      </c>
    </row>
    <row r="63" spans="1:4">
      <c r="A63">
        <v>8</v>
      </c>
      <c r="B63">
        <v>6202.2550000000001</v>
      </c>
      <c r="C63">
        <v>4558.5742435253587</v>
      </c>
      <c r="D63">
        <v>911.71484870507174</v>
      </c>
    </row>
    <row r="66" spans="1:7">
      <c r="C66" s="1" t="s">
        <v>31</v>
      </c>
      <c r="D66" s="1" t="s">
        <v>33</v>
      </c>
      <c r="E66" s="1" t="s">
        <v>32</v>
      </c>
      <c r="F66" s="1" t="s">
        <v>34</v>
      </c>
      <c r="G66" s="1" t="s">
        <v>35</v>
      </c>
    </row>
    <row r="67" spans="1:7">
      <c r="A67" s="1" t="s">
        <v>28</v>
      </c>
      <c r="B67" s="1" t="s">
        <v>2</v>
      </c>
      <c r="C67">
        <v>22145.081683171651</v>
      </c>
      <c r="D67">
        <v>3343.6868017492211</v>
      </c>
      <c r="E67">
        <v>1182.1718058404167</v>
      </c>
      <c r="F67">
        <v>1.0000000760065699</v>
      </c>
      <c r="G67">
        <v>5.338304516580733E-2</v>
      </c>
    </row>
    <row r="68" spans="1:7">
      <c r="A68" s="1"/>
      <c r="B68" s="1" t="s">
        <v>5</v>
      </c>
      <c r="C68">
        <v>8536.2980643478331</v>
      </c>
      <c r="D68">
        <v>1953.7674227771079</v>
      </c>
      <c r="E68">
        <v>690.76109675352859</v>
      </c>
      <c r="F68">
        <v>0.38547153879542689</v>
      </c>
      <c r="G68">
        <v>3.1192531106391513E-2</v>
      </c>
    </row>
    <row r="69" spans="1:7">
      <c r="A69" s="1" t="s">
        <v>30</v>
      </c>
      <c r="B69" s="1" t="s">
        <v>2</v>
      </c>
      <c r="C69">
        <v>2196.3593896882544</v>
      </c>
      <c r="D69">
        <v>2267.1630689864551</v>
      </c>
      <c r="E69">
        <v>801.56319006801334</v>
      </c>
    </row>
    <row r="70" spans="1:7">
      <c r="A70" s="1"/>
      <c r="B70" s="1" t="s">
        <v>5</v>
      </c>
      <c r="C70">
        <v>12727.935476993051</v>
      </c>
      <c r="D70">
        <v>4783.8758250464498</v>
      </c>
      <c r="E70">
        <v>1691.3555181223671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A29" sqref="A29"/>
    </sheetView>
  </sheetViews>
  <sheetFormatPr baseColWidth="10" defaultRowHeight="16"/>
  <cols>
    <col min="1" max="1" width="26.5" customWidth="1"/>
  </cols>
  <sheetData>
    <row r="1" spans="1:11">
      <c r="C1" t="s">
        <v>183</v>
      </c>
      <c r="F1" t="s">
        <v>134</v>
      </c>
      <c r="I1" t="s">
        <v>130</v>
      </c>
    </row>
    <row r="2" spans="1:11">
      <c r="A2" t="s">
        <v>127</v>
      </c>
      <c r="B2" t="s">
        <v>124</v>
      </c>
      <c r="C2">
        <v>4822</v>
      </c>
      <c r="D2">
        <v>1.0516902944383861</v>
      </c>
      <c r="E2">
        <v>1.0201381315885134</v>
      </c>
      <c r="F2">
        <v>389</v>
      </c>
      <c r="G2">
        <v>8.0671920364993779E-2</v>
      </c>
      <c r="H2">
        <v>8.0122035093517577E-2</v>
      </c>
      <c r="I2">
        <v>995</v>
      </c>
      <c r="J2">
        <v>0.20634591455827458</v>
      </c>
      <c r="K2">
        <v>0.20693179418833152</v>
      </c>
    </row>
    <row r="3" spans="1:11">
      <c r="B3" t="s">
        <v>187</v>
      </c>
      <c r="C3">
        <v>4585</v>
      </c>
      <c r="D3">
        <v>1</v>
      </c>
      <c r="F3">
        <v>411</v>
      </c>
      <c r="G3">
        <v>8.9640130861504908E-2</v>
      </c>
      <c r="I3">
        <v>1012</v>
      </c>
      <c r="J3">
        <v>0.22071973827699018</v>
      </c>
    </row>
    <row r="4" spans="1:11">
      <c r="B4" t="s">
        <v>188</v>
      </c>
      <c r="C4">
        <v>4625</v>
      </c>
      <c r="D4">
        <v>1.0087241003271539</v>
      </c>
      <c r="F4">
        <v>324</v>
      </c>
      <c r="G4">
        <v>7.0054054054054057E-2</v>
      </c>
      <c r="I4">
        <v>896</v>
      </c>
      <c r="J4">
        <v>0.19372972972972974</v>
      </c>
    </row>
    <row r="5" spans="1:11">
      <c r="A5" t="s">
        <v>128</v>
      </c>
      <c r="B5" t="s">
        <v>124</v>
      </c>
      <c r="C5">
        <v>4655</v>
      </c>
      <c r="D5">
        <v>1.0584356525693497</v>
      </c>
      <c r="E5">
        <v>1.0541912990753373</v>
      </c>
      <c r="F5">
        <v>896</v>
      </c>
      <c r="G5">
        <v>0.19248120300751881</v>
      </c>
      <c r="H5">
        <v>0.19663362593950648</v>
      </c>
      <c r="I5">
        <v>2965</v>
      </c>
      <c r="J5">
        <v>0.63694951664876476</v>
      </c>
      <c r="K5">
        <v>0.65514459449921059</v>
      </c>
    </row>
    <row r="6" spans="1:11">
      <c r="B6" t="s">
        <v>187</v>
      </c>
      <c r="C6">
        <v>4398</v>
      </c>
      <c r="D6">
        <v>1</v>
      </c>
      <c r="F6">
        <v>911</v>
      </c>
      <c r="G6">
        <v>0.20713960891314234</v>
      </c>
      <c r="I6">
        <v>3122</v>
      </c>
      <c r="J6">
        <v>0.70986812187357895</v>
      </c>
    </row>
    <row r="7" spans="1:11">
      <c r="B7" t="s">
        <v>188</v>
      </c>
      <c r="C7">
        <v>4856</v>
      </c>
      <c r="D7">
        <v>1.1041382446566621</v>
      </c>
      <c r="F7">
        <v>924</v>
      </c>
      <c r="G7">
        <v>0.19028006589785831</v>
      </c>
      <c r="I7">
        <v>3004</v>
      </c>
      <c r="J7">
        <v>0.61861614497528827</v>
      </c>
    </row>
    <row r="8" spans="1:11">
      <c r="A8" t="s">
        <v>42</v>
      </c>
      <c r="B8" t="s">
        <v>124</v>
      </c>
      <c r="C8">
        <v>4855</v>
      </c>
      <c r="D8">
        <v>1.0167539267015706</v>
      </c>
      <c r="E8">
        <v>1.017870855148342</v>
      </c>
      <c r="F8">
        <v>1024</v>
      </c>
      <c r="G8">
        <v>0.21091658084449022</v>
      </c>
      <c r="H8">
        <v>0.22897952691220894</v>
      </c>
      <c r="I8">
        <v>3657</v>
      </c>
      <c r="J8">
        <v>0.75324407826982487</v>
      </c>
      <c r="K8">
        <v>0.70459440859662215</v>
      </c>
    </row>
    <row r="9" spans="1:11">
      <c r="B9" t="s">
        <v>187</v>
      </c>
      <c r="C9">
        <v>4951</v>
      </c>
      <c r="D9">
        <v>1.0368586387434555</v>
      </c>
      <c r="F9">
        <v>1322</v>
      </c>
      <c r="G9">
        <v>0.2670167642900424</v>
      </c>
      <c r="I9">
        <v>3247</v>
      </c>
      <c r="J9">
        <v>0.65582710563522517</v>
      </c>
    </row>
    <row r="10" spans="1:11">
      <c r="B10" t="s">
        <v>188</v>
      </c>
      <c r="C10">
        <v>4775</v>
      </c>
      <c r="D10">
        <v>1</v>
      </c>
      <c r="F10">
        <v>998</v>
      </c>
      <c r="G10">
        <v>0.20900523560209425</v>
      </c>
      <c r="I10">
        <v>3365</v>
      </c>
      <c r="J10">
        <v>0.70471204188481673</v>
      </c>
    </row>
    <row r="11" spans="1:11">
      <c r="A11" t="s">
        <v>189</v>
      </c>
      <c r="B11" t="s">
        <v>124</v>
      </c>
      <c r="C11">
        <v>3895</v>
      </c>
      <c r="D11">
        <v>1</v>
      </c>
      <c r="E11">
        <f>AVERAGE(D11:D13)</f>
        <v>0.95173299101412068</v>
      </c>
      <c r="F11">
        <v>1467</v>
      </c>
      <c r="G11">
        <v>0.3766367137355584</v>
      </c>
      <c r="H11">
        <f>AVERAGE(G11:G13)</f>
        <v>0.42599307782568779</v>
      </c>
      <c r="I11">
        <v>3315</v>
      </c>
      <c r="J11">
        <v>0.85109114249037232</v>
      </c>
      <c r="K11">
        <f>AVERAGE(J11:J13)</f>
        <v>0.849884358054669</v>
      </c>
    </row>
    <row r="12" spans="1:11">
      <c r="B12" t="s">
        <v>187</v>
      </c>
      <c r="C12">
        <v>3489</v>
      </c>
      <c r="D12">
        <v>0.89576379974326059</v>
      </c>
      <c r="F12">
        <v>1552</v>
      </c>
      <c r="G12">
        <v>0.44482659787904844</v>
      </c>
      <c r="I12">
        <v>3004</v>
      </c>
      <c r="J12">
        <v>0.86099168816279736</v>
      </c>
    </row>
    <row r="13" spans="1:11">
      <c r="B13" t="s">
        <v>188</v>
      </c>
      <c r="C13">
        <v>3737</v>
      </c>
      <c r="D13">
        <v>0.95943517329910144</v>
      </c>
      <c r="F13">
        <v>1706</v>
      </c>
      <c r="G13">
        <v>0.45651592186245654</v>
      </c>
      <c r="I13">
        <v>3130</v>
      </c>
      <c r="J13">
        <v>0.83757024351083753</v>
      </c>
    </row>
    <row r="14" spans="1:11">
      <c r="A14" t="s">
        <v>107</v>
      </c>
      <c r="B14" s="47" t="s">
        <v>124</v>
      </c>
      <c r="C14">
        <v>3988</v>
      </c>
      <c r="D14">
        <v>0.96678787878787875</v>
      </c>
      <c r="E14">
        <f>AVERAGE(D14:D16)</f>
        <v>0.97890909090909084</v>
      </c>
      <c r="F14">
        <v>756</v>
      </c>
      <c r="G14">
        <v>0.18956870611835505</v>
      </c>
      <c r="H14">
        <f>AVERAGE(G14:G16)</f>
        <v>0.18503466298810342</v>
      </c>
      <c r="I14">
        <v>2342</v>
      </c>
      <c r="J14" s="7">
        <f>I14/C14</f>
        <v>0.58726178535606821</v>
      </c>
      <c r="K14">
        <f>AVERAGE(J14:J16)</f>
        <v>0.63624156411886368</v>
      </c>
    </row>
    <row r="15" spans="1:11">
      <c r="B15" s="47" t="s">
        <v>187</v>
      </c>
      <c r="C15">
        <v>4125</v>
      </c>
      <c r="D15">
        <v>1</v>
      </c>
      <c r="F15">
        <v>715</v>
      </c>
      <c r="G15">
        <v>0.17333333333333334</v>
      </c>
      <c r="I15">
        <v>2589</v>
      </c>
      <c r="J15" s="7">
        <f>I15/C15</f>
        <v>0.62763636363636366</v>
      </c>
    </row>
    <row r="16" spans="1:11">
      <c r="B16" s="47" t="s">
        <v>188</v>
      </c>
      <c r="C16">
        <v>4001</v>
      </c>
      <c r="D16">
        <v>0.96993939393939399</v>
      </c>
      <c r="F16">
        <v>769</v>
      </c>
      <c r="G16">
        <v>0.19220194951262184</v>
      </c>
      <c r="I16">
        <v>2776</v>
      </c>
      <c r="J16" s="7">
        <f>I16/C16</f>
        <v>0.69382654336415894</v>
      </c>
    </row>
    <row r="17" spans="1:11">
      <c r="A17" t="s">
        <v>184</v>
      </c>
      <c r="B17" t="s">
        <v>124</v>
      </c>
      <c r="C17">
        <v>4876</v>
      </c>
      <c r="D17">
        <v>1.1510859301227574</v>
      </c>
      <c r="E17">
        <v>1.0674378344350017</v>
      </c>
      <c r="F17">
        <v>885</v>
      </c>
      <c r="G17">
        <v>0.18150123051681707</v>
      </c>
      <c r="H17">
        <v>0.17337409857705066</v>
      </c>
      <c r="I17">
        <v>982</v>
      </c>
      <c r="J17">
        <v>0.20139458572600491</v>
      </c>
      <c r="K17">
        <v>0.22043811311680653</v>
      </c>
    </row>
    <row r="18" spans="1:11">
      <c r="B18" t="s">
        <v>187</v>
      </c>
      <c r="C18">
        <v>4236</v>
      </c>
      <c r="D18">
        <v>1</v>
      </c>
      <c r="F18">
        <v>798</v>
      </c>
      <c r="G18">
        <v>0.18838526912181303</v>
      </c>
      <c r="I18">
        <v>996</v>
      </c>
      <c r="J18">
        <v>0.23512747875354106</v>
      </c>
    </row>
    <row r="19" spans="1:11">
      <c r="B19" t="s">
        <v>188</v>
      </c>
      <c r="C19">
        <v>4453</v>
      </c>
      <c r="D19">
        <v>1.0512275731822474</v>
      </c>
      <c r="F19">
        <v>669</v>
      </c>
      <c r="G19">
        <v>0.15023579609252188</v>
      </c>
      <c r="I19">
        <v>1001</v>
      </c>
      <c r="J19">
        <v>0.22479227487087358</v>
      </c>
    </row>
    <row r="20" spans="1:11">
      <c r="A20" t="s">
        <v>185</v>
      </c>
      <c r="B20" t="s">
        <v>124</v>
      </c>
      <c r="C20">
        <v>4321</v>
      </c>
      <c r="D20">
        <v>1.0193441849492806</v>
      </c>
      <c r="E20">
        <v>1.052528111976095</v>
      </c>
      <c r="F20">
        <v>652</v>
      </c>
      <c r="G20">
        <v>0.15089099745429299</v>
      </c>
      <c r="H20">
        <v>0.16108925186199222</v>
      </c>
      <c r="I20">
        <v>947</v>
      </c>
      <c r="J20">
        <v>0.21916223096505438</v>
      </c>
      <c r="K20">
        <v>0.21905356117601427</v>
      </c>
    </row>
    <row r="21" spans="1:11">
      <c r="B21" t="s">
        <v>187</v>
      </c>
      <c r="C21">
        <v>4239</v>
      </c>
      <c r="D21">
        <v>1</v>
      </c>
      <c r="F21">
        <v>649</v>
      </c>
      <c r="G21">
        <v>0.15310214673271999</v>
      </c>
      <c r="I21">
        <v>885</v>
      </c>
      <c r="J21">
        <v>0.20877565463552725</v>
      </c>
    </row>
    <row r="22" spans="1:11">
      <c r="B22" t="s">
        <v>188</v>
      </c>
      <c r="C22">
        <v>4825</v>
      </c>
      <c r="D22">
        <v>1.1382401509790046</v>
      </c>
      <c r="F22">
        <v>865</v>
      </c>
      <c r="G22">
        <v>0.17927461139896372</v>
      </c>
      <c r="I22">
        <v>1106</v>
      </c>
      <c r="J22">
        <v>0.22922279792746114</v>
      </c>
    </row>
    <row r="23" spans="1:11">
      <c r="A23" t="s">
        <v>186</v>
      </c>
      <c r="B23" t="s">
        <v>124</v>
      </c>
      <c r="C23">
        <v>4711</v>
      </c>
      <c r="D23">
        <v>1.0884935304990757</v>
      </c>
      <c r="E23">
        <v>1.0529112754158965</v>
      </c>
      <c r="F23">
        <v>1025</v>
      </c>
      <c r="G23">
        <v>0.2175758862237317</v>
      </c>
      <c r="H23">
        <v>0.22963429737339591</v>
      </c>
      <c r="I23">
        <v>2996</v>
      </c>
      <c r="J23">
        <v>0.63595839524517084</v>
      </c>
      <c r="K23">
        <v>0.71396279067868529</v>
      </c>
    </row>
    <row r="24" spans="1:11">
      <c r="B24" t="s">
        <v>187</v>
      </c>
      <c r="C24">
        <v>4632</v>
      </c>
      <c r="D24">
        <v>1.0702402957486137</v>
      </c>
      <c r="F24">
        <v>1129</v>
      </c>
      <c r="G24">
        <v>0.24373920552677028</v>
      </c>
      <c r="I24">
        <v>3022</v>
      </c>
      <c r="J24">
        <v>0.65241796200345425</v>
      </c>
    </row>
    <row r="25" spans="1:11">
      <c r="B25" t="s">
        <v>188</v>
      </c>
      <c r="C25">
        <v>4328</v>
      </c>
      <c r="D25">
        <v>1</v>
      </c>
      <c r="F25">
        <v>985</v>
      </c>
      <c r="G25">
        <v>0.22758780036968576</v>
      </c>
      <c r="I25">
        <v>3694</v>
      </c>
      <c r="J25">
        <v>0.85351201478743066</v>
      </c>
    </row>
    <row r="29" spans="1:11">
      <c r="C29" t="s">
        <v>192</v>
      </c>
      <c r="D29" t="s">
        <v>32</v>
      </c>
      <c r="E29" t="s">
        <v>191</v>
      </c>
      <c r="F29" t="s">
        <v>32</v>
      </c>
      <c r="G29" t="s">
        <v>190</v>
      </c>
      <c r="H29" t="s">
        <v>32</v>
      </c>
    </row>
    <row r="30" spans="1:11">
      <c r="B30" t="s">
        <v>127</v>
      </c>
      <c r="C30">
        <v>1</v>
      </c>
      <c r="D30">
        <v>2.7670954392796633E-2</v>
      </c>
      <c r="E30">
        <v>8.0122035093517577E-2</v>
      </c>
      <c r="F30">
        <v>9.8046102184472829E-3</v>
      </c>
      <c r="G30">
        <v>0.20693179418833152</v>
      </c>
      <c r="H30">
        <v>1.3504539294288593E-2</v>
      </c>
    </row>
    <row r="31" spans="1:11">
      <c r="B31" t="s">
        <v>128</v>
      </c>
      <c r="C31">
        <v>1</v>
      </c>
      <c r="D31">
        <v>5.2198701157014478E-2</v>
      </c>
      <c r="E31">
        <v>0.19663362593950648</v>
      </c>
      <c r="F31">
        <v>9.164770036701738E-3</v>
      </c>
      <c r="G31">
        <v>0.65514459449921059</v>
      </c>
      <c r="H31">
        <v>4.8270347683120995E-2</v>
      </c>
    </row>
    <row r="32" spans="1:11">
      <c r="B32" t="s">
        <v>42</v>
      </c>
      <c r="C32">
        <v>1</v>
      </c>
      <c r="D32">
        <v>1.8454686650592189E-2</v>
      </c>
      <c r="E32">
        <v>0.22897952691220894</v>
      </c>
      <c r="F32">
        <v>3.2955073671016924E-2</v>
      </c>
      <c r="G32">
        <v>0.70459440859662215</v>
      </c>
      <c r="H32">
        <v>4.8708592850907277E-2</v>
      </c>
    </row>
    <row r="33" spans="2:8">
      <c r="B33" t="s">
        <v>186</v>
      </c>
      <c r="C33">
        <v>1</v>
      </c>
      <c r="D33">
        <v>4.6722558195335426E-2</v>
      </c>
      <c r="E33">
        <v>0.22963429737339591</v>
      </c>
      <c r="F33">
        <v>1.3201171604362766E-2</v>
      </c>
      <c r="G33">
        <v>0.71396279067868529</v>
      </c>
      <c r="H33">
        <v>0.12113306235905291</v>
      </c>
    </row>
    <row r="34" spans="2:8">
      <c r="B34" t="s">
        <v>107</v>
      </c>
      <c r="C34">
        <v>1</v>
      </c>
      <c r="D34">
        <v>1.8333107937507517E-2</v>
      </c>
      <c r="E34">
        <v>0.18503466298810342</v>
      </c>
      <c r="F34">
        <v>1.0218822312799237E-2</v>
      </c>
      <c r="G34">
        <v>0.63624155999999998</v>
      </c>
      <c r="H34">
        <f>STDEV(J14:J16)</f>
        <v>5.3801013176693495E-2</v>
      </c>
    </row>
    <row r="35" spans="2:8">
      <c r="B35" t="s">
        <v>189</v>
      </c>
      <c r="C35">
        <v>1</v>
      </c>
      <c r="D35">
        <v>5.2543211454516875E-2</v>
      </c>
      <c r="E35">
        <v>0.42599307782568779</v>
      </c>
      <c r="F35">
        <v>4.314160498805452E-2</v>
      </c>
      <c r="G35">
        <v>0.849884358054669</v>
      </c>
      <c r="H35">
        <v>1.1757264303480473E-2</v>
      </c>
    </row>
    <row r="36" spans="2:8">
      <c r="B36" t="s">
        <v>185</v>
      </c>
      <c r="C36">
        <v>1</v>
      </c>
      <c r="D36">
        <v>7.4856292957674597E-2</v>
      </c>
      <c r="E36">
        <v>0.16108925186199222</v>
      </c>
      <c r="F36">
        <v>1.5787741174707735E-2</v>
      </c>
      <c r="G36">
        <v>0.21905356117601427</v>
      </c>
      <c r="H36">
        <v>1.0224004794722411E-2</v>
      </c>
    </row>
    <row r="37" spans="2:8">
      <c r="B37" t="s">
        <v>184</v>
      </c>
      <c r="C37">
        <v>1</v>
      </c>
      <c r="D37">
        <v>7.683631301459351E-2</v>
      </c>
      <c r="E37">
        <v>0.17337409857705066</v>
      </c>
      <c r="F37">
        <v>2.0331829191637715E-2</v>
      </c>
      <c r="G37">
        <v>0.22043811311680653</v>
      </c>
      <c r="H37">
        <v>1.7282825620749478E-2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5"/>
  <sheetViews>
    <sheetView topLeftCell="A72" workbookViewId="0">
      <selection activeCell="L93" sqref="L93"/>
    </sheetView>
  </sheetViews>
  <sheetFormatPr baseColWidth="10" defaultRowHeight="16"/>
  <cols>
    <col min="1" max="1" width="17" customWidth="1"/>
  </cols>
  <sheetData>
    <row r="1" spans="1:13">
      <c r="A1" s="1" t="s">
        <v>193</v>
      </c>
    </row>
    <row r="2" spans="1:13">
      <c r="B2" s="1" t="s">
        <v>205</v>
      </c>
      <c r="H2" s="1" t="s">
        <v>210</v>
      </c>
    </row>
    <row r="3" spans="1:13">
      <c r="B3" t="s">
        <v>206</v>
      </c>
      <c r="C3" t="s">
        <v>207</v>
      </c>
      <c r="D3" s="47" t="s">
        <v>208</v>
      </c>
      <c r="E3" t="s">
        <v>209</v>
      </c>
      <c r="F3" t="s">
        <v>66</v>
      </c>
      <c r="G3" t="s">
        <v>32</v>
      </c>
      <c r="H3" t="s">
        <v>211</v>
      </c>
      <c r="I3" t="s">
        <v>212</v>
      </c>
      <c r="J3" t="s">
        <v>213</v>
      </c>
      <c r="K3" t="s">
        <v>214</v>
      </c>
      <c r="L3" t="s">
        <v>66</v>
      </c>
      <c r="M3" t="s">
        <v>32</v>
      </c>
    </row>
    <row r="4" spans="1:13">
      <c r="A4" t="s">
        <v>198</v>
      </c>
      <c r="B4">
        <v>1.0000001014432365</v>
      </c>
      <c r="C4">
        <v>0.99999804662731151</v>
      </c>
      <c r="D4">
        <v>0.95307252764618622</v>
      </c>
      <c r="E4">
        <v>0.98435689190557818</v>
      </c>
      <c r="F4">
        <v>0.230548</v>
      </c>
      <c r="G4">
        <v>0.13310694986112984</v>
      </c>
      <c r="H4">
        <v>1.0000000325607872</v>
      </c>
      <c r="I4">
        <v>1.0000000614160176</v>
      </c>
      <c r="J4">
        <v>1.0000000533997062</v>
      </c>
      <c r="K4">
        <v>1.0000000491255037</v>
      </c>
      <c r="L4">
        <v>0.156</v>
      </c>
      <c r="M4">
        <v>9.0066641993581623E-2</v>
      </c>
    </row>
    <row r="5" spans="1:13">
      <c r="A5" t="s">
        <v>199</v>
      </c>
      <c r="B5">
        <v>0.68076402967833272</v>
      </c>
      <c r="C5">
        <v>0.35409038352226813</v>
      </c>
      <c r="D5">
        <v>0.24259723867365701</v>
      </c>
      <c r="E5">
        <v>0.42581721729141925</v>
      </c>
      <c r="F5">
        <v>0.22771931889223709</v>
      </c>
      <c r="G5">
        <v>0.13147381006211131</v>
      </c>
      <c r="H5">
        <v>1.0669084593455982</v>
      </c>
      <c r="I5">
        <v>1.2116405476365488</v>
      </c>
      <c r="J5">
        <v>0.55926971245948853</v>
      </c>
      <c r="K5">
        <v>0.94593957314721189</v>
      </c>
      <c r="L5">
        <v>0.34259601605748713</v>
      </c>
      <c r="M5">
        <v>0.19779790209408354</v>
      </c>
    </row>
    <row r="6" spans="1:13">
      <c r="A6" t="s">
        <v>200</v>
      </c>
      <c r="B6">
        <v>0.66809004602741451</v>
      </c>
      <c r="C6">
        <v>0.41162022693311273</v>
      </c>
      <c r="D6">
        <v>0.35058678249430503</v>
      </c>
      <c r="E6">
        <v>0.47676568515161072</v>
      </c>
      <c r="F6">
        <v>0.16847857024980167</v>
      </c>
      <c r="G6">
        <v>9.727114788640627E-2</v>
      </c>
      <c r="H6">
        <v>1.2713799697010479</v>
      </c>
      <c r="I6">
        <v>0.90376549652412308</v>
      </c>
      <c r="J6">
        <v>0.97874343967517707</v>
      </c>
      <c r="K6">
        <v>1.0512963019667827</v>
      </c>
      <c r="L6">
        <v>0.19424993846154959</v>
      </c>
      <c r="M6">
        <v>0.11215025426084391</v>
      </c>
    </row>
    <row r="7" spans="1:13">
      <c r="A7" t="s">
        <v>201</v>
      </c>
      <c r="B7">
        <v>0.58208777485050878</v>
      </c>
      <c r="C7">
        <v>0.49932792065976506</v>
      </c>
      <c r="D7">
        <v>0.38961550871758549</v>
      </c>
      <c r="E7">
        <v>0.49034373474261977</v>
      </c>
      <c r="F7">
        <v>9.655014243920651E-2</v>
      </c>
      <c r="G7">
        <v>5.5743250727572594E-2</v>
      </c>
      <c r="H7">
        <v>1.2253744628648997</v>
      </c>
      <c r="I7">
        <v>1.0327199041235136</v>
      </c>
      <c r="J7">
        <v>1.0040029773438846</v>
      </c>
      <c r="K7">
        <v>1.0873657814440991</v>
      </c>
      <c r="L7">
        <v>0.12037841410131483</v>
      </c>
      <c r="M7">
        <v>6.9500509786014367E-2</v>
      </c>
    </row>
    <row r="8" spans="1:13">
      <c r="A8" t="s">
        <v>202</v>
      </c>
      <c r="B8">
        <v>0.4382297198216511</v>
      </c>
      <c r="C8">
        <v>0.258191482112899</v>
      </c>
      <c r="D8">
        <v>0.38759525011290075</v>
      </c>
      <c r="E8">
        <v>0.3613388173491503</v>
      </c>
      <c r="F8">
        <v>9.2846604436706642E-2</v>
      </c>
      <c r="G8">
        <v>5.3605012064875286E-2</v>
      </c>
      <c r="H8">
        <v>1.0666267743101201</v>
      </c>
      <c r="I8">
        <v>0.98187093701230843</v>
      </c>
      <c r="J8">
        <v>0.87739407273651415</v>
      </c>
      <c r="K8">
        <v>0.975297261352981</v>
      </c>
      <c r="L8">
        <v>9.4787466180750277E-2</v>
      </c>
      <c r="M8">
        <v>5.4725569115258721E-2</v>
      </c>
    </row>
    <row r="9" spans="1:13">
      <c r="A9" t="s">
        <v>203</v>
      </c>
      <c r="B9">
        <v>1.428366809730625</v>
      </c>
      <c r="C9">
        <v>0.95070855378014485</v>
      </c>
      <c r="D9">
        <v>0.8138521808993443</v>
      </c>
      <c r="E9">
        <v>1.0643091814700381</v>
      </c>
      <c r="F9">
        <v>0.32262344028381634</v>
      </c>
      <c r="G9">
        <v>0.18626673009474454</v>
      </c>
      <c r="H9">
        <v>1.4008902377882959</v>
      </c>
      <c r="I9">
        <v>1.1027914787075344</v>
      </c>
      <c r="J9">
        <v>0.81542634528673852</v>
      </c>
      <c r="K9">
        <v>1.1063693539275228</v>
      </c>
      <c r="L9">
        <v>0.29274834457104337</v>
      </c>
      <c r="M9">
        <v>0.16901833554290921</v>
      </c>
    </row>
    <row r="10" spans="1:13">
      <c r="A10" t="s">
        <v>204</v>
      </c>
      <c r="B10">
        <v>1.3866992689902347</v>
      </c>
      <c r="C10">
        <v>0.95363215723067762</v>
      </c>
      <c r="D10">
        <v>0.83900127619851883</v>
      </c>
      <c r="E10">
        <v>1.0597775674731438</v>
      </c>
      <c r="F10">
        <v>0.2888657281743105</v>
      </c>
      <c r="G10">
        <v>0.16677670592109545</v>
      </c>
      <c r="H10">
        <v>1.5343677706060599</v>
      </c>
      <c r="I10">
        <v>1.0830162315621084</v>
      </c>
      <c r="J10">
        <v>0.8234841119718781</v>
      </c>
      <c r="K10">
        <v>1.1469560380466821</v>
      </c>
      <c r="L10">
        <v>0.35972922896012105</v>
      </c>
      <c r="M10">
        <v>0.20768976717550242</v>
      </c>
    </row>
    <row r="26" spans="1:9">
      <c r="A26" s="1" t="s">
        <v>160</v>
      </c>
    </row>
    <row r="27" spans="1:9">
      <c r="B27" s="1" t="s">
        <v>161</v>
      </c>
      <c r="C27" s="1" t="s">
        <v>136</v>
      </c>
      <c r="D27" s="1" t="s">
        <v>164</v>
      </c>
      <c r="E27" s="1" t="s">
        <v>163</v>
      </c>
      <c r="F27" s="1"/>
      <c r="G27" s="1"/>
    </row>
    <row r="28" spans="1:9">
      <c r="A28" s="1" t="s">
        <v>137</v>
      </c>
      <c r="B28">
        <v>9.8773E-2</v>
      </c>
      <c r="C28">
        <v>350</v>
      </c>
      <c r="D28">
        <f>B28/C28</f>
        <v>2.8220857142857145E-4</v>
      </c>
      <c r="E28">
        <f>D28/0.00186798</f>
        <v>0.1510768698961292</v>
      </c>
      <c r="G28" t="s">
        <v>157</v>
      </c>
      <c r="H28">
        <f>AVERAGE(E34:E39)</f>
        <v>1.0000015295361071</v>
      </c>
      <c r="I28">
        <f>STDEV(E34:E39)</f>
        <v>0.12253615990485053</v>
      </c>
    </row>
    <row r="29" spans="1:9">
      <c r="A29" s="1" t="s">
        <v>138</v>
      </c>
      <c r="B29">
        <v>0.12343999999999999</v>
      </c>
      <c r="C29">
        <v>350</v>
      </c>
      <c r="D29">
        <f t="shared" ref="D29:D51" si="0">B29/C29</f>
        <v>3.5268571428571428E-4</v>
      </c>
      <c r="E29">
        <f>D29/0.00186798</f>
        <v>0.18880593704735291</v>
      </c>
      <c r="G29" t="s">
        <v>158</v>
      </c>
      <c r="H29">
        <f>AVERAGE(E28:E32)</f>
        <v>0.18064855390008766</v>
      </c>
      <c r="I29">
        <f>STDEV(E28:E32)</f>
        <v>3.0302016804976212E-2</v>
      </c>
    </row>
    <row r="30" spans="1:9">
      <c r="A30" s="1" t="s">
        <v>139</v>
      </c>
      <c r="B30">
        <v>9.8764299999999999E-2</v>
      </c>
      <c r="C30">
        <v>350</v>
      </c>
      <c r="D30">
        <f t="shared" si="0"/>
        <v>2.8218371428571427E-4</v>
      </c>
      <c r="E30">
        <f>D30/0.00186798</f>
        <v>0.15106356293199835</v>
      </c>
      <c r="G30" t="s">
        <v>107</v>
      </c>
      <c r="H30">
        <f>AVERAGE(E41:E44)</f>
        <v>0.22579432633876473</v>
      </c>
      <c r="I30">
        <f>STDEV(E41:E44)</f>
        <v>8.6750154438005656E-2</v>
      </c>
    </row>
    <row r="31" spans="1:9">
      <c r="A31" s="1" t="s">
        <v>140</v>
      </c>
      <c r="B31">
        <v>0.1238765</v>
      </c>
      <c r="C31">
        <v>350</v>
      </c>
      <c r="D31">
        <f t="shared" si="0"/>
        <v>3.5393285714285712E-4</v>
      </c>
      <c r="E31">
        <f>D31/0.00186798</f>
        <v>0.18947357955805583</v>
      </c>
      <c r="G31" t="s">
        <v>159</v>
      </c>
      <c r="H31">
        <f>AVERAGE(E46:E51)</f>
        <v>0.99163455660532718</v>
      </c>
      <c r="I31">
        <f>STDEV(E46:E51)</f>
        <v>0.14591500365975654</v>
      </c>
    </row>
    <row r="32" spans="1:9">
      <c r="A32" s="1" t="s">
        <v>141</v>
      </c>
      <c r="B32">
        <v>0.14568</v>
      </c>
      <c r="C32">
        <v>350</v>
      </c>
      <c r="D32">
        <f t="shared" si="0"/>
        <v>4.1622857142857144E-4</v>
      </c>
      <c r="E32">
        <f>D32/0.00186798</f>
        <v>0.22282282006690191</v>
      </c>
    </row>
    <row r="33" spans="1:5">
      <c r="A33" s="1"/>
    </row>
    <row r="34" spans="1:5">
      <c r="A34" s="1" t="s">
        <v>142</v>
      </c>
      <c r="B34">
        <v>0.54669999999999996</v>
      </c>
      <c r="C34">
        <v>350</v>
      </c>
      <c r="D34">
        <f t="shared" si="0"/>
        <v>1.5619999999999998E-3</v>
      </c>
      <c r="E34">
        <f t="shared" ref="E34:E39" si="1">D34/0.00186798</f>
        <v>0.83619738969367974</v>
      </c>
    </row>
    <row r="35" spans="1:5">
      <c r="A35" s="1" t="s">
        <v>143</v>
      </c>
      <c r="B35">
        <v>0.67320000000000002</v>
      </c>
      <c r="C35">
        <v>350</v>
      </c>
      <c r="D35">
        <f t="shared" si="0"/>
        <v>1.9234285714285716E-3</v>
      </c>
      <c r="E35">
        <f t="shared" si="1"/>
        <v>1.0296837072284348</v>
      </c>
    </row>
    <row r="36" spans="1:5">
      <c r="A36" s="1" t="s">
        <v>144</v>
      </c>
      <c r="B36">
        <v>0.59087000000000001</v>
      </c>
      <c r="C36">
        <v>350</v>
      </c>
      <c r="D36">
        <f t="shared" si="0"/>
        <v>1.6881999999999999E-3</v>
      </c>
      <c r="E36">
        <f t="shared" si="1"/>
        <v>0.90375699953960964</v>
      </c>
    </row>
    <row r="37" spans="1:5">
      <c r="A37" s="1" t="s">
        <v>145</v>
      </c>
      <c r="B37">
        <v>0.76554</v>
      </c>
      <c r="C37">
        <v>350</v>
      </c>
      <c r="D37">
        <f t="shared" si="0"/>
        <v>2.187257142857143E-3</v>
      </c>
      <c r="E37">
        <f t="shared" si="1"/>
        <v>1.1709210713482709</v>
      </c>
    </row>
    <row r="38" spans="1:5">
      <c r="A38" s="1" t="s">
        <v>146</v>
      </c>
      <c r="B38">
        <v>0.63422000000000001</v>
      </c>
      <c r="C38">
        <v>350</v>
      </c>
      <c r="D38">
        <f t="shared" si="0"/>
        <v>1.8120571428571429E-3</v>
      </c>
      <c r="E38">
        <f t="shared" si="1"/>
        <v>0.97006238977780435</v>
      </c>
    </row>
    <row r="39" spans="1:5">
      <c r="A39" s="1" t="s">
        <v>147</v>
      </c>
      <c r="B39">
        <v>0.71223400000000003</v>
      </c>
      <c r="C39">
        <v>350</v>
      </c>
      <c r="D39">
        <f t="shared" si="0"/>
        <v>2.0349542857142858E-3</v>
      </c>
      <c r="E39">
        <f t="shared" si="1"/>
        <v>1.0893876196288428</v>
      </c>
    </row>
    <row r="40" spans="1:5">
      <c r="A40" s="1"/>
    </row>
    <row r="41" spans="1:5">
      <c r="A41" s="1" t="s">
        <v>148</v>
      </c>
      <c r="B41">
        <v>0.231234</v>
      </c>
      <c r="C41">
        <v>350</v>
      </c>
      <c r="D41">
        <f t="shared" si="0"/>
        <v>6.6066857142857145E-4</v>
      </c>
      <c r="E41">
        <f>D41/0.00186798</f>
        <v>0.35368075216467598</v>
      </c>
    </row>
    <row r="42" spans="1:5">
      <c r="A42" s="1" t="s">
        <v>149</v>
      </c>
      <c r="B42">
        <v>0.112345</v>
      </c>
      <c r="C42">
        <v>350</v>
      </c>
      <c r="D42">
        <f t="shared" si="0"/>
        <v>3.2098571428571427E-4</v>
      </c>
      <c r="E42">
        <f>D42/0.00186798</f>
        <v>0.17183573394025325</v>
      </c>
    </row>
    <row r="43" spans="1:5">
      <c r="A43" s="1" t="s">
        <v>150</v>
      </c>
      <c r="B43">
        <v>0.13456699999999999</v>
      </c>
      <c r="C43">
        <v>350</v>
      </c>
      <c r="D43">
        <f t="shared" si="0"/>
        <v>3.8447714285714282E-4</v>
      </c>
      <c r="E43">
        <f>D43/0.00186798</f>
        <v>0.20582508530987634</v>
      </c>
    </row>
    <row r="44" spans="1:5">
      <c r="A44" s="1" t="s">
        <v>151</v>
      </c>
      <c r="B44">
        <v>0.112345</v>
      </c>
      <c r="C44">
        <v>350</v>
      </c>
      <c r="D44">
        <f t="shared" si="0"/>
        <v>3.2098571428571427E-4</v>
      </c>
      <c r="E44">
        <f>D44/0.00186798</f>
        <v>0.17183573394025325</v>
      </c>
    </row>
    <row r="45" spans="1:5">
      <c r="A45" s="1"/>
    </row>
    <row r="46" spans="1:5">
      <c r="A46" s="1" t="s">
        <v>152</v>
      </c>
      <c r="B46">
        <v>0.78999399999999997</v>
      </c>
      <c r="C46">
        <v>350</v>
      </c>
      <c r="D46">
        <f t="shared" si="0"/>
        <v>2.2571257142857144E-3</v>
      </c>
      <c r="E46">
        <f t="shared" ref="E46:E51" si="2">D46/0.00186798</f>
        <v>1.2083243473087049</v>
      </c>
    </row>
    <row r="47" spans="1:5">
      <c r="A47" s="1" t="s">
        <v>153</v>
      </c>
      <c r="B47">
        <v>0.71223344</v>
      </c>
      <c r="C47">
        <v>350</v>
      </c>
      <c r="D47">
        <f t="shared" si="0"/>
        <v>2.0349526857142857E-3</v>
      </c>
      <c r="E47">
        <f t="shared" si="2"/>
        <v>1.0893867630886229</v>
      </c>
    </row>
    <row r="48" spans="1:5">
      <c r="A48" s="1" t="s">
        <v>162</v>
      </c>
      <c r="B48">
        <v>0.55678340000000004</v>
      </c>
      <c r="C48">
        <v>350</v>
      </c>
      <c r="D48">
        <f t="shared" si="0"/>
        <v>1.5908097142857144E-3</v>
      </c>
      <c r="E48">
        <f t="shared" si="2"/>
        <v>0.85162031407494432</v>
      </c>
    </row>
    <row r="49" spans="1:9">
      <c r="A49" s="1" t="s">
        <v>154</v>
      </c>
      <c r="B49">
        <v>0.53647500000000004</v>
      </c>
      <c r="C49">
        <v>350</v>
      </c>
      <c r="D49">
        <f t="shared" si="0"/>
        <v>1.5327857142857144E-3</v>
      </c>
      <c r="E49">
        <f t="shared" si="2"/>
        <v>0.82055788299966514</v>
      </c>
    </row>
    <row r="50" spans="1:9">
      <c r="A50" s="1" t="s">
        <v>155</v>
      </c>
      <c r="B50">
        <v>0.66234455000000003</v>
      </c>
      <c r="C50">
        <v>350</v>
      </c>
      <c r="D50">
        <f t="shared" si="0"/>
        <v>1.8924130000000001E-3</v>
      </c>
      <c r="E50">
        <f t="shared" si="2"/>
        <v>1.0130799044957655</v>
      </c>
    </row>
    <row r="51" spans="1:9">
      <c r="A51" s="1" t="s">
        <v>156</v>
      </c>
      <c r="B51">
        <v>0.63211200000000001</v>
      </c>
      <c r="C51">
        <v>350</v>
      </c>
      <c r="D51">
        <f t="shared" si="0"/>
        <v>1.8060342857142858E-3</v>
      </c>
      <c r="E51">
        <f t="shared" si="2"/>
        <v>0.96683812766426069</v>
      </c>
    </row>
    <row r="55" spans="1:9">
      <c r="A55" s="1" t="s">
        <v>215</v>
      </c>
    </row>
    <row r="56" spans="1:9">
      <c r="B56" t="s">
        <v>396</v>
      </c>
      <c r="C56" t="s">
        <v>397</v>
      </c>
      <c r="D56" t="s">
        <v>7</v>
      </c>
      <c r="E56" t="s">
        <v>391</v>
      </c>
      <c r="F56" t="s">
        <v>398</v>
      </c>
      <c r="G56" t="s">
        <v>399</v>
      </c>
      <c r="H56" t="s">
        <v>402</v>
      </c>
      <c r="I56" t="s">
        <v>403</v>
      </c>
    </row>
    <row r="57" spans="1:9">
      <c r="A57" t="s">
        <v>142</v>
      </c>
      <c r="B57">
        <v>24395.276000000002</v>
      </c>
      <c r="C57">
        <v>19966.740000000002</v>
      </c>
      <c r="D57">
        <v>16267.325999999999</v>
      </c>
      <c r="E57">
        <f>D57/12333.225</f>
        <v>1.3189839640483327</v>
      </c>
      <c r="F57">
        <f>B57/E57</f>
        <v>18495.50613574106</v>
      </c>
      <c r="G57">
        <f>C57/E57</f>
        <v>15137.970243941754</v>
      </c>
      <c r="H57">
        <f>F57/18774.6279</f>
        <v>0.98513303348829939</v>
      </c>
      <c r="I57">
        <f>G57/16529.9221</f>
        <v>0.91579198936102391</v>
      </c>
    </row>
    <row r="58" spans="1:9">
      <c r="A58" t="s">
        <v>143</v>
      </c>
      <c r="B58">
        <v>22762.153999999999</v>
      </c>
      <c r="C58">
        <v>20992.447</v>
      </c>
      <c r="D58">
        <v>14964.518</v>
      </c>
      <c r="E58">
        <f t="shared" ref="E58:E68" si="3">D58/12333.225</f>
        <v>1.213349955100957</v>
      </c>
      <c r="F58">
        <f t="shared" ref="F58:F68" si="4">B58/E58</f>
        <v>18759.76003815492</v>
      </c>
      <c r="G58">
        <f t="shared" ref="G58:G68" si="5">C58/E58</f>
        <v>17301.230293656969</v>
      </c>
      <c r="H58">
        <f t="shared" ref="H58:H68" si="6">F58/18774.6279</f>
        <v>0.99920808753578128</v>
      </c>
      <c r="I58">
        <f t="shared" ref="I58:I68" si="7">G58/16529.9221</f>
        <v>1.0466613326421526</v>
      </c>
    </row>
    <row r="59" spans="1:9">
      <c r="A59" t="s">
        <v>144</v>
      </c>
      <c r="B59">
        <v>25218.518</v>
      </c>
      <c r="C59">
        <v>22681.861000000001</v>
      </c>
      <c r="D59">
        <v>16310.861000000001</v>
      </c>
      <c r="E59">
        <f t="shared" si="3"/>
        <v>1.3225138599190398</v>
      </c>
      <c r="F59">
        <f t="shared" si="4"/>
        <v>19068.62284342623</v>
      </c>
      <c r="G59">
        <f t="shared" si="5"/>
        <v>17150.565818182436</v>
      </c>
      <c r="H59">
        <f t="shared" si="6"/>
        <v>1.0156591621944333</v>
      </c>
      <c r="I59">
        <f t="shared" si="7"/>
        <v>1.0375466813713803</v>
      </c>
    </row>
    <row r="60" spans="1:9">
      <c r="A60" t="s">
        <v>137</v>
      </c>
      <c r="B60">
        <v>10398.103999999999</v>
      </c>
      <c r="C60">
        <v>10154.276</v>
      </c>
      <c r="D60">
        <v>16101.276</v>
      </c>
      <c r="E60">
        <f t="shared" si="3"/>
        <v>1.3055203322731888</v>
      </c>
      <c r="F60">
        <f t="shared" si="4"/>
        <v>7964.7200759368388</v>
      </c>
      <c r="G60">
        <f t="shared" si="5"/>
        <v>7777.9531647119156</v>
      </c>
      <c r="H60">
        <f t="shared" si="6"/>
        <v>0.4242278525230766</v>
      </c>
      <c r="I60">
        <f t="shared" si="7"/>
        <v>0.47053779912924792</v>
      </c>
    </row>
    <row r="61" spans="1:9">
      <c r="A61" t="s">
        <v>138</v>
      </c>
      <c r="B61">
        <v>9190.74</v>
      </c>
      <c r="C61">
        <v>12859.325999999999</v>
      </c>
      <c r="D61">
        <v>13533.861000000001</v>
      </c>
      <c r="E61">
        <f t="shared" si="3"/>
        <v>1.0973497199637565</v>
      </c>
      <c r="F61">
        <f t="shared" si="4"/>
        <v>8375.397407768558</v>
      </c>
      <c r="G61">
        <f t="shared" si="5"/>
        <v>11718.530351859677</v>
      </c>
      <c r="H61">
        <f t="shared" si="6"/>
        <v>0.44610191223915324</v>
      </c>
      <c r="I61">
        <f t="shared" si="7"/>
        <v>0.70892834708880315</v>
      </c>
    </row>
    <row r="62" spans="1:9">
      <c r="A62" t="s">
        <v>139</v>
      </c>
      <c r="B62">
        <v>9097.2049999999999</v>
      </c>
      <c r="C62">
        <v>10058.205</v>
      </c>
      <c r="D62">
        <v>14518.619000000001</v>
      </c>
      <c r="E62">
        <f t="shared" si="3"/>
        <v>1.1771956645565129</v>
      </c>
      <c r="F62">
        <f t="shared" si="4"/>
        <v>7727.861454049108</v>
      </c>
      <c r="G62">
        <f t="shared" si="5"/>
        <v>8544.2083273295484</v>
      </c>
      <c r="H62">
        <f t="shared" si="6"/>
        <v>0.41161196350789503</v>
      </c>
      <c r="I62">
        <f t="shared" si="7"/>
        <v>0.51689344182266583</v>
      </c>
    </row>
    <row r="63" spans="1:9">
      <c r="A63" t="s">
        <v>148</v>
      </c>
      <c r="B63">
        <v>7368.2250000000004</v>
      </c>
      <c r="C63">
        <v>10408.103999999999</v>
      </c>
      <c r="D63">
        <v>12333.225</v>
      </c>
      <c r="E63">
        <f t="shared" si="3"/>
        <v>1</v>
      </c>
      <c r="F63">
        <f t="shared" si="4"/>
        <v>7368.2250000000004</v>
      </c>
      <c r="G63">
        <f t="shared" si="5"/>
        <v>10408.103999999999</v>
      </c>
      <c r="H63">
        <f t="shared" si="6"/>
        <v>0.39245651307954821</v>
      </c>
      <c r="I63">
        <f t="shared" si="7"/>
        <v>0.62965233211837091</v>
      </c>
    </row>
    <row r="64" spans="1:9">
      <c r="A64" t="s">
        <v>149</v>
      </c>
      <c r="B64">
        <v>7117.2250000000004</v>
      </c>
      <c r="C64">
        <v>9127.8610000000008</v>
      </c>
      <c r="D64">
        <v>14121.861000000001</v>
      </c>
      <c r="E64">
        <f t="shared" si="3"/>
        <v>1.1450258144159375</v>
      </c>
      <c r="F64">
        <f t="shared" si="4"/>
        <v>6215.7768937553628</v>
      </c>
      <c r="G64">
        <f t="shared" si="5"/>
        <v>7971.7512785124427</v>
      </c>
      <c r="H64">
        <f t="shared" si="6"/>
        <v>0.33107324027206753</v>
      </c>
      <c r="I64">
        <f t="shared" si="7"/>
        <v>0.48226187820403843</v>
      </c>
    </row>
    <row r="65" spans="1:12">
      <c r="A65" t="s">
        <v>150</v>
      </c>
      <c r="B65">
        <v>7638.326</v>
      </c>
      <c r="C65">
        <v>9470.6190000000006</v>
      </c>
      <c r="D65">
        <v>13796.569</v>
      </c>
      <c r="E65">
        <f t="shared" si="3"/>
        <v>1.1186505557143407</v>
      </c>
      <c r="F65">
        <f t="shared" si="4"/>
        <v>6828.1609131480445</v>
      </c>
      <c r="G65">
        <f t="shared" si="5"/>
        <v>8466.110307299954</v>
      </c>
      <c r="H65">
        <f t="shared" si="6"/>
        <v>0.36369087843003506</v>
      </c>
      <c r="I65">
        <f t="shared" si="7"/>
        <v>0.51216879644580748</v>
      </c>
      <c r="K65" t="s">
        <v>400</v>
      </c>
      <c r="L65">
        <f>AVERAGE(F57:F59)</f>
        <v>18774.629672440737</v>
      </c>
    </row>
    <row r="66" spans="1:12">
      <c r="A66" t="s">
        <v>333</v>
      </c>
      <c r="B66">
        <v>21413.276000000002</v>
      </c>
      <c r="C66">
        <v>20865.983</v>
      </c>
      <c r="D66">
        <v>13437.983</v>
      </c>
      <c r="E66">
        <f t="shared" si="3"/>
        <v>1.0895757597870792</v>
      </c>
      <c r="F66">
        <f t="shared" si="4"/>
        <v>19652.856451381136</v>
      </c>
      <c r="G66">
        <f t="shared" si="5"/>
        <v>19150.557281191308</v>
      </c>
      <c r="H66">
        <f t="shared" si="6"/>
        <v>1.0467774145010424</v>
      </c>
      <c r="I66">
        <f t="shared" si="7"/>
        <v>1.158538870621254</v>
      </c>
      <c r="K66" t="s">
        <v>401</v>
      </c>
      <c r="L66">
        <f>AVERAGE(G57:G59)</f>
        <v>16529.92211859372</v>
      </c>
    </row>
    <row r="67" spans="1:12">
      <c r="A67" t="s">
        <v>334</v>
      </c>
      <c r="B67">
        <v>21450.74</v>
      </c>
      <c r="C67">
        <v>23961.74</v>
      </c>
      <c r="D67">
        <v>13294.276</v>
      </c>
      <c r="E67">
        <f t="shared" si="3"/>
        <v>1.0779237385193248</v>
      </c>
      <c r="F67">
        <f t="shared" si="4"/>
        <v>19900.053439277177</v>
      </c>
      <c r="G67">
        <f t="shared" si="5"/>
        <v>22229.531778300679</v>
      </c>
      <c r="H67">
        <f t="shared" si="6"/>
        <v>1.0599439597563038</v>
      </c>
      <c r="I67">
        <f t="shared" si="7"/>
        <v>1.3448055982248506</v>
      </c>
    </row>
    <row r="68" spans="1:12">
      <c r="A68" t="s">
        <v>335</v>
      </c>
      <c r="B68">
        <v>19026.569</v>
      </c>
      <c r="C68">
        <v>22253.618999999999</v>
      </c>
      <c r="D68">
        <v>14043.032999999999</v>
      </c>
      <c r="E68">
        <f t="shared" si="3"/>
        <v>1.1386342988147868</v>
      </c>
      <c r="F68">
        <f t="shared" si="4"/>
        <v>16709.991100571009</v>
      </c>
      <c r="G68">
        <f t="shared" si="5"/>
        <v>19544.131968590758</v>
      </c>
      <c r="H68">
        <f t="shared" si="6"/>
        <v>0.89003048100734983</v>
      </c>
      <c r="I68">
        <f t="shared" si="7"/>
        <v>1.1823487037843183</v>
      </c>
    </row>
    <row r="71" spans="1:12">
      <c r="D71" t="s">
        <v>216</v>
      </c>
      <c r="E71" t="s">
        <v>181</v>
      </c>
      <c r="F71" t="s">
        <v>217</v>
      </c>
      <c r="G71" t="s">
        <v>32</v>
      </c>
    </row>
    <row r="72" spans="1:12">
      <c r="C72" t="s">
        <v>157</v>
      </c>
      <c r="D72">
        <f>AVERAGE(H57:H59)</f>
        <v>1.0000000944061713</v>
      </c>
      <c r="E72">
        <f>STDEV(H57:H59)</f>
        <v>1.5278468169549001E-2</v>
      </c>
      <c r="F72">
        <f>AVERAGE(I57:I59)</f>
        <v>1.0000000011248522</v>
      </c>
      <c r="G72">
        <f>STDEV(I57:I59)</f>
        <v>7.3068537352678251E-2</v>
      </c>
    </row>
    <row r="73" spans="1:12">
      <c r="C73" t="s">
        <v>158</v>
      </c>
      <c r="D73">
        <f>AVERAGE(H60:H62)</f>
        <v>0.42731390942337494</v>
      </c>
      <c r="E73">
        <f>STDEV(H60:H62)</f>
        <v>1.7450843855387463E-2</v>
      </c>
      <c r="F73">
        <f>AVERAGE(I60:I62)</f>
        <v>0.56545319601357236</v>
      </c>
      <c r="G73">
        <f>STDEV(I60:I62)</f>
        <v>0.12639640277486222</v>
      </c>
    </row>
    <row r="74" spans="1:12">
      <c r="C74" t="s">
        <v>107</v>
      </c>
      <c r="D74">
        <f>AVERAGE(H63:H65)</f>
        <v>0.36240687726055026</v>
      </c>
      <c r="E74">
        <f>STDEV(H62:H64)</f>
        <v>4.2073989197855703E-2</v>
      </c>
      <c r="F74">
        <f>AVERAGE(I63:I65)</f>
        <v>0.54136100225607231</v>
      </c>
      <c r="G74">
        <f>STDEV(I63:I65)</f>
        <v>7.7911007799411361E-2</v>
      </c>
    </row>
    <row r="75" spans="1:12">
      <c r="C75" t="s">
        <v>159</v>
      </c>
      <c r="D75">
        <f>AVERAGE(H66:H68)</f>
        <v>0.99891728508823208</v>
      </c>
      <c r="E75">
        <f>STDEV(H66:H68)</f>
        <v>9.452825797453919E-2</v>
      </c>
      <c r="F75">
        <f>AVERAGE(I66:I68)</f>
        <v>1.2285643908768076</v>
      </c>
      <c r="G75">
        <f>STDEV(I66:I68)</f>
        <v>0.1013693284633536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115"/>
  <sheetViews>
    <sheetView topLeftCell="A53" workbookViewId="0">
      <selection activeCell="A85" sqref="A85:XFD85"/>
    </sheetView>
  </sheetViews>
  <sheetFormatPr baseColWidth="10" defaultRowHeight="16"/>
  <cols>
    <col min="1" max="1" width="23.33203125" customWidth="1"/>
    <col min="8" max="8" width="12.83203125" bestFit="1" customWidth="1"/>
  </cols>
  <sheetData>
    <row r="1" spans="1:16">
      <c r="A1" s="1" t="s">
        <v>384</v>
      </c>
    </row>
    <row r="2" spans="1:16">
      <c r="C2" t="s">
        <v>389</v>
      </c>
      <c r="F2" t="s">
        <v>390</v>
      </c>
      <c r="I2" t="s">
        <v>391</v>
      </c>
      <c r="L2" t="s">
        <v>392</v>
      </c>
      <c r="O2" t="s">
        <v>393</v>
      </c>
    </row>
    <row r="3" spans="1:16">
      <c r="B3" t="s">
        <v>124</v>
      </c>
      <c r="C3" t="s">
        <v>187</v>
      </c>
      <c r="D3" t="s">
        <v>188</v>
      </c>
      <c r="E3" t="s">
        <v>124</v>
      </c>
      <c r="F3" t="s">
        <v>187</v>
      </c>
      <c r="G3" t="s">
        <v>188</v>
      </c>
      <c r="H3" t="s">
        <v>124</v>
      </c>
      <c r="I3" t="s">
        <v>187</v>
      </c>
      <c r="J3" t="s">
        <v>188</v>
      </c>
      <c r="K3" t="s">
        <v>124</v>
      </c>
      <c r="L3" t="s">
        <v>187</v>
      </c>
      <c r="M3" t="s">
        <v>188</v>
      </c>
      <c r="N3" t="s">
        <v>124</v>
      </c>
      <c r="O3" t="s">
        <v>187</v>
      </c>
      <c r="P3" t="s">
        <v>188</v>
      </c>
    </row>
    <row r="4" spans="1:16">
      <c r="A4" t="s">
        <v>385</v>
      </c>
      <c r="B4">
        <v>10653.630999999999</v>
      </c>
      <c r="C4">
        <v>10183.166999999999</v>
      </c>
      <c r="D4">
        <v>7891.9740000000002</v>
      </c>
      <c r="E4">
        <v>31803.773000000001</v>
      </c>
      <c r="F4">
        <v>30917.409</v>
      </c>
      <c r="G4">
        <v>29482.458999999999</v>
      </c>
      <c r="H4">
        <f>E4/15951.016</f>
        <v>1.9938399535176945</v>
      </c>
      <c r="I4">
        <f>F4/17373.581</f>
        <v>1.7795645583947259</v>
      </c>
      <c r="J4">
        <f>G4/29482.459</f>
        <v>1</v>
      </c>
      <c r="K4">
        <f>B4/H4</f>
        <v>5343.272904730391</v>
      </c>
      <c r="L4">
        <f>C4/I4</f>
        <v>5722.2801791387819</v>
      </c>
      <c r="M4">
        <f>D4/J4</f>
        <v>7891.9740000000002</v>
      </c>
      <c r="N4">
        <f>K4/6319.18</f>
        <v>0.84556428282314966</v>
      </c>
      <c r="O4">
        <f t="shared" ref="O4:O7" si="0">L4/6319.18</f>
        <v>0.90554157013074188</v>
      </c>
      <c r="P4">
        <f t="shared" ref="P4:P7" si="1">M4/6319.18</f>
        <v>1.2488921030893247</v>
      </c>
    </row>
    <row r="5" spans="1:16">
      <c r="A5" t="s">
        <v>386</v>
      </c>
      <c r="B5">
        <v>16365.966</v>
      </c>
      <c r="C5">
        <v>17836.945</v>
      </c>
      <c r="D5">
        <v>16122.237999999999</v>
      </c>
      <c r="E5">
        <v>23138.065999999999</v>
      </c>
      <c r="F5">
        <v>17373.580999999998</v>
      </c>
      <c r="G5">
        <v>23443.409</v>
      </c>
      <c r="H5">
        <f t="shared" ref="H5" si="2">E5/15951.016</f>
        <v>1.4505700451933594</v>
      </c>
      <c r="I5">
        <f t="shared" ref="I5" si="3">F5/17373.581</f>
        <v>1</v>
      </c>
      <c r="J5">
        <f t="shared" ref="J5" si="4">G5/29482.459</f>
        <v>0.79516464349191496</v>
      </c>
      <c r="K5">
        <f>B5/I5</f>
        <v>16365.966</v>
      </c>
      <c r="L5">
        <f>C5/I5</f>
        <v>17836.945</v>
      </c>
      <c r="M5">
        <f>D5/J5</f>
        <v>20275.345655712528</v>
      </c>
      <c r="N5">
        <f t="shared" ref="N5:N7" si="5">K5/6319.18</f>
        <v>2.5898876120002909</v>
      </c>
      <c r="O5">
        <f t="shared" si="0"/>
        <v>2.822667656246538</v>
      </c>
      <c r="P5">
        <f t="shared" si="1"/>
        <v>3.2085406106033578</v>
      </c>
    </row>
    <row r="6" spans="1:16">
      <c r="A6" t="s">
        <v>387</v>
      </c>
      <c r="B6">
        <v>11972.995000000001</v>
      </c>
      <c r="C6">
        <v>12787.945</v>
      </c>
      <c r="D6">
        <v>11916.701999999999</v>
      </c>
      <c r="E6">
        <v>35951.016000000003</v>
      </c>
      <c r="F6">
        <v>31984.966</v>
      </c>
      <c r="G6">
        <v>35613.995000000003</v>
      </c>
      <c r="H6">
        <f>E6/31984.966</f>
        <v>1.1239973179899583</v>
      </c>
      <c r="I6">
        <f t="shared" ref="I6" si="6">F6/31984.966</f>
        <v>1</v>
      </c>
      <c r="J6">
        <f t="shared" ref="J6" si="7">G6/31984.966</f>
        <v>1.1134604613930184</v>
      </c>
      <c r="K6">
        <f t="shared" ref="K6:K7" si="8">B6/H6</f>
        <v>10652.156200346883</v>
      </c>
      <c r="L6">
        <f t="shared" ref="L6:L7" si="9">C6/I6</f>
        <v>12787.945</v>
      </c>
      <c r="M6">
        <f t="shared" ref="M6:M7" si="10">D6/J6</f>
        <v>10702.40247695132</v>
      </c>
      <c r="N6">
        <f t="shared" si="5"/>
        <v>1.6856864657039177</v>
      </c>
      <c r="O6">
        <f t="shared" si="0"/>
        <v>2.0236715839713377</v>
      </c>
      <c r="P6">
        <f t="shared" si="1"/>
        <v>1.6936378575940738</v>
      </c>
    </row>
    <row r="7" spans="1:16">
      <c r="A7" t="s">
        <v>388</v>
      </c>
      <c r="B7">
        <v>21179.651999999998</v>
      </c>
      <c r="C7">
        <v>21262.773000000001</v>
      </c>
      <c r="D7">
        <v>21946.187000000002</v>
      </c>
      <c r="E7">
        <v>19575.095000000001</v>
      </c>
      <c r="F7">
        <v>21534.167000000001</v>
      </c>
      <c r="G7">
        <v>20810.631000000001</v>
      </c>
      <c r="H7">
        <f>E7/19575.095</f>
        <v>1</v>
      </c>
      <c r="I7">
        <f t="shared" ref="I7" si="11">F7/19575.095</f>
        <v>1.1000798208131302</v>
      </c>
      <c r="J7">
        <f t="shared" ref="J7" si="12">G7/19575.095</f>
        <v>1.0631177524298094</v>
      </c>
      <c r="K7">
        <f t="shared" si="8"/>
        <v>21179.651999999998</v>
      </c>
      <c r="L7">
        <f t="shared" si="9"/>
        <v>19328.391083733819</v>
      </c>
      <c r="M7">
        <f t="shared" si="10"/>
        <v>20643.232558050018</v>
      </c>
      <c r="N7">
        <f t="shared" si="5"/>
        <v>3.3516456249070288</v>
      </c>
      <c r="O7">
        <f t="shared" si="0"/>
        <v>3.0586865833436963</v>
      </c>
      <c r="P7">
        <f t="shared" si="1"/>
        <v>3.2667581170420874</v>
      </c>
    </row>
    <row r="9" spans="1:16">
      <c r="C9" t="s">
        <v>394</v>
      </c>
      <c r="D9" t="s">
        <v>66</v>
      </c>
      <c r="J9" s="60" t="s">
        <v>395</v>
      </c>
      <c r="K9" s="60">
        <f>AVERAGE(K4:M4)</f>
        <v>6319.1756946230571</v>
      </c>
    </row>
    <row r="10" spans="1:16">
      <c r="B10" t="s">
        <v>385</v>
      </c>
      <c r="C10">
        <f>AVERAGE(N4:P4)</f>
        <v>0.99999931868107206</v>
      </c>
      <c r="D10">
        <f>STDEV(N4:P4)</f>
        <v>0.21762360245631576</v>
      </c>
    </row>
    <row r="11" spans="1:16">
      <c r="B11" t="s">
        <v>386</v>
      </c>
      <c r="C11">
        <f>AVERAGE(N5:P5)</f>
        <v>2.8736986262833955</v>
      </c>
      <c r="D11">
        <f>STDEV(N5:P5)</f>
        <v>0.31246760327643341</v>
      </c>
    </row>
    <row r="12" spans="1:16">
      <c r="B12" t="s">
        <v>387</v>
      </c>
      <c r="C12">
        <f>AVERAGE(N6:P6)</f>
        <v>1.8009986357564429</v>
      </c>
      <c r="D12">
        <f>STDEV(N6:P6)</f>
        <v>0.19288140801612419</v>
      </c>
    </row>
    <row r="13" spans="1:16">
      <c r="B13" t="s">
        <v>388</v>
      </c>
      <c r="C13">
        <f>AVERAGE(N7:P7)</f>
        <v>3.2256967750976044</v>
      </c>
      <c r="D13">
        <f>STDEV(N7:P7)</f>
        <v>0.15073412141959741</v>
      </c>
    </row>
    <row r="26" spans="1:10" ht="14" customHeight="1"/>
    <row r="31" spans="1:10">
      <c r="A31" s="1" t="s">
        <v>374</v>
      </c>
    </row>
    <row r="32" spans="1:10">
      <c r="B32" t="s">
        <v>351</v>
      </c>
      <c r="C32" t="s">
        <v>352</v>
      </c>
      <c r="D32" t="s">
        <v>353</v>
      </c>
      <c r="E32" t="s">
        <v>354</v>
      </c>
      <c r="F32" t="s">
        <v>355</v>
      </c>
      <c r="G32" t="s">
        <v>356</v>
      </c>
      <c r="H32" t="s">
        <v>357</v>
      </c>
      <c r="I32" t="s">
        <v>358</v>
      </c>
      <c r="J32" t="s">
        <v>359</v>
      </c>
    </row>
    <row r="33" spans="1:11">
      <c r="A33" t="s">
        <v>42</v>
      </c>
      <c r="B33">
        <v>4226</v>
      </c>
      <c r="C33">
        <v>4263</v>
      </c>
      <c r="D33">
        <v>4625</v>
      </c>
      <c r="E33">
        <v>1012</v>
      </c>
      <c r="F33">
        <v>1054</v>
      </c>
      <c r="G33">
        <v>1120</v>
      </c>
      <c r="H33">
        <v>2314</v>
      </c>
      <c r="I33">
        <v>2251</v>
      </c>
      <c r="J33">
        <v>2385</v>
      </c>
    </row>
    <row r="34" spans="1:11">
      <c r="A34" t="s">
        <v>369</v>
      </c>
      <c r="B34">
        <v>4526</v>
      </c>
      <c r="C34">
        <v>4523</v>
      </c>
      <c r="D34">
        <v>4587</v>
      </c>
      <c r="E34">
        <v>1566</v>
      </c>
      <c r="F34">
        <v>1378</v>
      </c>
      <c r="G34">
        <v>1425</v>
      </c>
      <c r="H34">
        <v>1321</v>
      </c>
      <c r="I34">
        <v>1263</v>
      </c>
      <c r="J34">
        <v>1359</v>
      </c>
    </row>
    <row r="35" spans="1:11">
      <c r="A35" t="s">
        <v>370</v>
      </c>
      <c r="B35">
        <v>4657</v>
      </c>
      <c r="C35">
        <v>4756</v>
      </c>
      <c r="D35">
        <v>4126</v>
      </c>
      <c r="E35">
        <v>1510</v>
      </c>
      <c r="F35">
        <v>1435</v>
      </c>
      <c r="G35">
        <v>1456</v>
      </c>
      <c r="H35">
        <v>1163</v>
      </c>
      <c r="I35">
        <v>1188</v>
      </c>
      <c r="J35">
        <v>1056</v>
      </c>
    </row>
    <row r="36" spans="1:11">
      <c r="A36" t="s">
        <v>371</v>
      </c>
      <c r="B36">
        <v>4156</v>
      </c>
      <c r="C36">
        <v>4563</v>
      </c>
      <c r="D36">
        <v>4563</v>
      </c>
      <c r="E36">
        <v>986</v>
      </c>
      <c r="F36">
        <v>896</v>
      </c>
      <c r="G36">
        <v>798</v>
      </c>
      <c r="H36">
        <v>2015</v>
      </c>
      <c r="I36">
        <v>2114</v>
      </c>
      <c r="J36">
        <v>2065</v>
      </c>
    </row>
    <row r="37" spans="1:11">
      <c r="A37" t="s">
        <v>372</v>
      </c>
      <c r="B37">
        <v>4369</v>
      </c>
      <c r="C37">
        <v>4223</v>
      </c>
      <c r="D37">
        <v>4523</v>
      </c>
      <c r="E37">
        <v>1125</v>
      </c>
      <c r="F37">
        <v>1048</v>
      </c>
      <c r="G37">
        <v>1123</v>
      </c>
      <c r="H37">
        <v>1025</v>
      </c>
      <c r="I37">
        <v>1102</v>
      </c>
      <c r="J37">
        <v>1058</v>
      </c>
    </row>
    <row r="38" spans="1:11">
      <c r="A38" t="s">
        <v>373</v>
      </c>
      <c r="B38">
        <v>4566</v>
      </c>
      <c r="C38">
        <v>4258</v>
      </c>
      <c r="D38">
        <v>4659</v>
      </c>
      <c r="E38">
        <v>1025</v>
      </c>
      <c r="F38">
        <v>1028</v>
      </c>
      <c r="G38">
        <v>1104</v>
      </c>
      <c r="H38">
        <v>1241</v>
      </c>
      <c r="I38">
        <v>1124</v>
      </c>
      <c r="J38">
        <v>988</v>
      </c>
    </row>
    <row r="41" spans="1:11">
      <c r="B41" s="1"/>
      <c r="C41" t="s">
        <v>133</v>
      </c>
      <c r="F41" t="s">
        <v>134</v>
      </c>
      <c r="I41" t="s">
        <v>130</v>
      </c>
    </row>
    <row r="42" spans="1:11">
      <c r="B42" s="1" t="s">
        <v>360</v>
      </c>
      <c r="C42" t="s">
        <v>361</v>
      </c>
      <c r="D42" t="s">
        <v>362</v>
      </c>
      <c r="E42" t="s">
        <v>363</v>
      </c>
      <c r="F42" t="s">
        <v>361</v>
      </c>
      <c r="G42" t="s">
        <v>362</v>
      </c>
      <c r="H42" t="s">
        <v>363</v>
      </c>
      <c r="I42" t="s">
        <v>361</v>
      </c>
      <c r="J42" t="s">
        <v>362</v>
      </c>
      <c r="K42" t="s">
        <v>363</v>
      </c>
    </row>
    <row r="43" spans="1:11">
      <c r="A43" t="s">
        <v>42</v>
      </c>
      <c r="B43">
        <v>4371.333333333333</v>
      </c>
      <c r="C43">
        <v>0.96675308830257745</v>
      </c>
      <c r="D43">
        <v>0.9752173249961873</v>
      </c>
      <c r="E43">
        <v>1.0580295867012355</v>
      </c>
      <c r="F43">
        <v>0.23946994794131565</v>
      </c>
      <c r="G43">
        <v>0.2472437250762374</v>
      </c>
      <c r="H43">
        <v>0.24216216216216216</v>
      </c>
      <c r="I43">
        <v>0.54756270705158538</v>
      </c>
      <c r="J43">
        <v>0.52803190241613884</v>
      </c>
      <c r="K43">
        <v>0.51567567567567563</v>
      </c>
    </row>
    <row r="44" spans="1:11">
      <c r="A44" t="s">
        <v>369</v>
      </c>
      <c r="B44">
        <v>4545.333333333333</v>
      </c>
      <c r="C44">
        <v>0.99574655324141981</v>
      </c>
      <c r="D44">
        <v>0.99508653564095051</v>
      </c>
      <c r="E44">
        <v>1.0091669111176298</v>
      </c>
      <c r="F44">
        <v>0.34600088378258947</v>
      </c>
      <c r="G44">
        <v>0.30466504532390004</v>
      </c>
      <c r="H44">
        <v>0.3106605624591236</v>
      </c>
      <c r="I44">
        <v>0.29186920017675649</v>
      </c>
      <c r="J44">
        <v>0.2792394428476675</v>
      </c>
      <c r="K44">
        <v>0.29627207325049054</v>
      </c>
    </row>
    <row r="45" spans="1:11">
      <c r="A45" t="s">
        <v>370</v>
      </c>
      <c r="B45">
        <v>4513</v>
      </c>
      <c r="C45">
        <v>1.0319078218479947</v>
      </c>
      <c r="D45">
        <v>1.0538444493684911</v>
      </c>
      <c r="E45">
        <v>0.91424772878351435</v>
      </c>
      <c r="F45">
        <v>0.32424307494094912</v>
      </c>
      <c r="G45">
        <v>0.30172413793103448</v>
      </c>
      <c r="H45">
        <v>0.35288414929714007</v>
      </c>
      <c r="I45">
        <v>0.24973158685849259</v>
      </c>
      <c r="J45">
        <v>0.24978973927670312</v>
      </c>
      <c r="K45">
        <v>0.25593795443528844</v>
      </c>
    </row>
    <row r="46" spans="1:11">
      <c r="A46" t="s">
        <v>371</v>
      </c>
      <c r="B46">
        <v>4427.333333333333</v>
      </c>
      <c r="C46">
        <v>0.9387140490889927</v>
      </c>
      <c r="D46">
        <v>1.0306429754555038</v>
      </c>
      <c r="E46">
        <v>1.0306429754555038</v>
      </c>
      <c r="F46">
        <v>0.23724735322425408</v>
      </c>
      <c r="G46">
        <v>0.19636204251588868</v>
      </c>
      <c r="H46">
        <v>0.17488494411571334</v>
      </c>
      <c r="I46">
        <v>0.4848411934552454</v>
      </c>
      <c r="J46">
        <v>0.46329169406092485</v>
      </c>
      <c r="K46">
        <v>0.45255314486083714</v>
      </c>
    </row>
    <row r="47" spans="1:11">
      <c r="A47" t="s">
        <v>372</v>
      </c>
      <c r="B47">
        <v>4371.666666666667</v>
      </c>
      <c r="C47">
        <v>0.99939001143728545</v>
      </c>
      <c r="D47">
        <v>0.96599313762866934</v>
      </c>
      <c r="E47">
        <v>1.034616850934045</v>
      </c>
      <c r="F47">
        <v>0.25749599450675209</v>
      </c>
      <c r="G47">
        <v>0.24816481174520483</v>
      </c>
      <c r="H47">
        <v>0.24828653548529736</v>
      </c>
      <c r="I47">
        <v>0.23460746166170748</v>
      </c>
      <c r="J47">
        <v>0.26095192990764859</v>
      </c>
      <c r="K47">
        <v>0.23391554278133983</v>
      </c>
    </row>
    <row r="48" spans="1:11">
      <c r="A48" t="s">
        <v>373</v>
      </c>
      <c r="B48">
        <v>4494.333333333333</v>
      </c>
      <c r="C48">
        <v>1.0159460060817327</v>
      </c>
      <c r="D48">
        <v>0.94741526366535644</v>
      </c>
      <c r="E48">
        <v>1.0366387302529112</v>
      </c>
      <c r="F48">
        <v>0.22448532632501095</v>
      </c>
      <c r="G48">
        <v>0.24142790042273368</v>
      </c>
      <c r="H48">
        <v>0.2369607211848036</v>
      </c>
      <c r="I48">
        <v>0.27179150240911082</v>
      </c>
      <c r="J48">
        <v>0.26397369657116015</v>
      </c>
      <c r="K48">
        <v>0.21206267439364671</v>
      </c>
    </row>
    <row r="50" spans="1:7">
      <c r="B50" t="s">
        <v>364</v>
      </c>
      <c r="C50" t="s">
        <v>365</v>
      </c>
      <c r="D50" t="s">
        <v>134</v>
      </c>
      <c r="E50" t="s">
        <v>366</v>
      </c>
      <c r="F50" t="s">
        <v>130</v>
      </c>
      <c r="G50" t="s">
        <v>367</v>
      </c>
    </row>
    <row r="51" spans="1:7">
      <c r="A51" t="s">
        <v>42</v>
      </c>
      <c r="B51">
        <v>1</v>
      </c>
      <c r="C51">
        <v>5.0432980530983003E-2</v>
      </c>
      <c r="D51">
        <v>0.24295861172657174</v>
      </c>
      <c r="E51">
        <v>3.947613414120513E-3</v>
      </c>
      <c r="F51">
        <v>0.53042342838113321</v>
      </c>
      <c r="G51">
        <v>1.6077476164591108E-2</v>
      </c>
    </row>
    <row r="52" spans="1:7">
      <c r="A52" t="s">
        <v>369</v>
      </c>
      <c r="B52">
        <v>1</v>
      </c>
      <c r="C52">
        <v>7.9456340456331969E-3</v>
      </c>
      <c r="D52">
        <v>0.32044216385520441</v>
      </c>
      <c r="E52">
        <v>2.2336577170071828E-2</v>
      </c>
      <c r="F52">
        <v>0.28912690542497149</v>
      </c>
      <c r="G52">
        <v>8.8412533042009148E-3</v>
      </c>
    </row>
    <row r="53" spans="1:7">
      <c r="A53" t="s">
        <v>370</v>
      </c>
      <c r="B53">
        <v>1.0000000000000002</v>
      </c>
      <c r="C53">
        <v>7.5069254164621485E-2</v>
      </c>
      <c r="D53">
        <v>0.32628378738970787</v>
      </c>
      <c r="E53">
        <v>2.5640984209247947E-2</v>
      </c>
      <c r="F53">
        <v>0.25181976019016139</v>
      </c>
      <c r="G53">
        <v>3.5665793565241403E-3</v>
      </c>
    </row>
    <row r="54" spans="1:7">
      <c r="A54" t="s">
        <v>371</v>
      </c>
      <c r="B54">
        <v>1</v>
      </c>
      <c r="C54">
        <v>5.307519038401845E-2</v>
      </c>
      <c r="D54">
        <v>0.20283144661861871</v>
      </c>
      <c r="E54">
        <v>3.1680552544716779E-2</v>
      </c>
      <c r="F54">
        <v>0.46689534412566913</v>
      </c>
      <c r="G54">
        <v>1.64429085277078E-2</v>
      </c>
    </row>
    <row r="55" spans="1:7">
      <c r="A55" t="s">
        <v>372</v>
      </c>
      <c r="B55">
        <v>1</v>
      </c>
      <c r="C55">
        <v>3.431592300215134E-2</v>
      </c>
      <c r="D55">
        <v>0.25131578057908477</v>
      </c>
      <c r="E55">
        <v>5.3525682911127314E-3</v>
      </c>
      <c r="F55">
        <v>0.24315831145023195</v>
      </c>
      <c r="G55">
        <v>1.5413608639456903E-2</v>
      </c>
    </row>
    <row r="56" spans="1:7">
      <c r="A56" t="s">
        <v>373</v>
      </c>
      <c r="B56">
        <v>1</v>
      </c>
      <c r="C56">
        <v>4.6700247107955589E-2</v>
      </c>
      <c r="D56">
        <v>0.23429131597751607</v>
      </c>
      <c r="E56">
        <v>8.7810590127117734E-3</v>
      </c>
      <c r="F56">
        <v>0.24927595779130587</v>
      </c>
      <c r="G56">
        <v>3.2463839390248599E-2</v>
      </c>
    </row>
    <row r="82" spans="1:9">
      <c r="A82" s="1" t="s">
        <v>377</v>
      </c>
      <c r="C82" t="s">
        <v>380</v>
      </c>
      <c r="F82" t="s">
        <v>382</v>
      </c>
    </row>
    <row r="83" spans="1:9">
      <c r="B83" t="s">
        <v>379</v>
      </c>
      <c r="C83" t="s">
        <v>125</v>
      </c>
      <c r="D83" t="s">
        <v>126</v>
      </c>
      <c r="E83" t="s">
        <v>379</v>
      </c>
      <c r="F83" t="s">
        <v>125</v>
      </c>
      <c r="G83" t="s">
        <v>126</v>
      </c>
      <c r="H83" t="s">
        <v>383</v>
      </c>
    </row>
    <row r="84" spans="1:9">
      <c r="A84" s="11" t="s">
        <v>378</v>
      </c>
      <c r="B84">
        <v>0.48499999999999999</v>
      </c>
      <c r="C84">
        <v>0.47799999999999998</v>
      </c>
      <c r="D84">
        <v>0.48499999999999999</v>
      </c>
      <c r="E84">
        <f>B84-B90</f>
        <v>2.3333333333333539E-3</v>
      </c>
      <c r="F84">
        <f>C84-0.43267</f>
        <v>4.5329999999999981E-2</v>
      </c>
      <c r="G84">
        <f>D84-0.43267</f>
        <v>5.2329999999999988E-2</v>
      </c>
      <c r="H84">
        <f>AVERAGE(E84:G84)</f>
        <v>3.333111111111111E-2</v>
      </c>
      <c r="I84">
        <f>STDEV(E84:G84)</f>
        <v>2.7072064390629119E-2</v>
      </c>
    </row>
    <row r="85" spans="1:9">
      <c r="A85" s="11" t="s">
        <v>90</v>
      </c>
      <c r="B85">
        <v>1.3525</v>
      </c>
      <c r="C85">
        <v>1.3255999999999999</v>
      </c>
      <c r="D85">
        <v>1.4423299999999999</v>
      </c>
      <c r="E85">
        <f t="shared" ref="E85:F89" si="13">B85-0.43267</f>
        <v>0.91983000000000004</v>
      </c>
      <c r="F85">
        <f t="shared" si="13"/>
        <v>0.89292999999999989</v>
      </c>
      <c r="G85">
        <f t="shared" ref="G85:G89" si="14">D85-0.43267</f>
        <v>1.0096599999999998</v>
      </c>
      <c r="H85">
        <f t="shared" ref="H85:H89" si="15">AVERAGE(E85:G85)</f>
        <v>0.94080666666666657</v>
      </c>
      <c r="I85">
        <f t="shared" ref="I85:I89" si="16">STDEV(E85:G85)</f>
        <v>6.1126824171825925E-2</v>
      </c>
    </row>
    <row r="86" spans="1:9">
      <c r="A86" s="11" t="s">
        <v>73</v>
      </c>
      <c r="B86" s="57">
        <v>0.46560000000000001</v>
      </c>
      <c r="C86">
        <v>0.52144999999999997</v>
      </c>
      <c r="D86">
        <v>0.49859999999999999</v>
      </c>
      <c r="E86">
        <f t="shared" si="13"/>
        <v>3.2930000000000015E-2</v>
      </c>
      <c r="F86">
        <f t="shared" si="13"/>
        <v>8.877999999999997E-2</v>
      </c>
      <c r="G86">
        <f t="shared" si="14"/>
        <v>6.5929999999999989E-2</v>
      </c>
      <c r="H86">
        <f t="shared" si="15"/>
        <v>6.2546666666666653E-2</v>
      </c>
      <c r="I86">
        <f t="shared" si="16"/>
        <v>2.807829826277463E-2</v>
      </c>
    </row>
    <row r="87" spans="1:9">
      <c r="A87" s="11" t="s">
        <v>83</v>
      </c>
      <c r="B87" s="57">
        <v>0.45695999999999998</v>
      </c>
      <c r="C87">
        <v>0.54256000000000004</v>
      </c>
      <c r="D87">
        <v>0.49666500000000002</v>
      </c>
      <c r="E87">
        <f t="shared" si="13"/>
        <v>2.4289999999999978E-2</v>
      </c>
      <c r="F87">
        <f t="shared" si="13"/>
        <v>0.10989000000000004</v>
      </c>
      <c r="G87">
        <f t="shared" si="14"/>
        <v>6.3995000000000024E-2</v>
      </c>
      <c r="H87">
        <f t="shared" si="15"/>
        <v>6.6058333333333344E-2</v>
      </c>
      <c r="I87">
        <f t="shared" si="16"/>
        <v>4.2837285258677832E-2</v>
      </c>
    </row>
    <row r="88" spans="1:9">
      <c r="A88" s="11" t="s">
        <v>88</v>
      </c>
      <c r="B88" s="57">
        <v>2.5669599999999999</v>
      </c>
      <c r="C88">
        <v>2.2126546540000001</v>
      </c>
      <c r="D88" s="58">
        <v>2.8866900000000002</v>
      </c>
      <c r="E88">
        <f t="shared" si="13"/>
        <v>2.13429</v>
      </c>
      <c r="F88">
        <f t="shared" si="13"/>
        <v>1.7799846540000002</v>
      </c>
      <c r="G88">
        <f t="shared" si="14"/>
        <v>2.4540200000000003</v>
      </c>
      <c r="H88">
        <f t="shared" si="15"/>
        <v>2.1227648846666667</v>
      </c>
      <c r="I88">
        <f t="shared" si="16"/>
        <v>0.33716543880848754</v>
      </c>
    </row>
    <row r="89" spans="1:9">
      <c r="A89" s="11" t="s">
        <v>100</v>
      </c>
      <c r="B89">
        <v>1.4236</v>
      </c>
      <c r="C89">
        <v>1.51247</v>
      </c>
      <c r="D89">
        <v>1.5389600000000001</v>
      </c>
      <c r="E89">
        <f t="shared" si="13"/>
        <v>0.99092999999999998</v>
      </c>
      <c r="F89">
        <f t="shared" si="13"/>
        <v>1.0798000000000001</v>
      </c>
      <c r="G89">
        <f t="shared" si="14"/>
        <v>1.10629</v>
      </c>
      <c r="H89">
        <f t="shared" si="15"/>
        <v>1.0590066666666667</v>
      </c>
      <c r="I89">
        <f t="shared" si="16"/>
        <v>6.0425610740259275E-2</v>
      </c>
    </row>
    <row r="90" spans="1:9">
      <c r="A90" s="59" t="s">
        <v>381</v>
      </c>
      <c r="B90" s="60">
        <f>AVERAGE(B84:D84)</f>
        <v>0.48266666666666663</v>
      </c>
    </row>
    <row r="106" spans="1:104">
      <c r="A106" s="1" t="s">
        <v>375</v>
      </c>
    </row>
    <row r="107" spans="1:104">
      <c r="A107" t="s">
        <v>376</v>
      </c>
    </row>
    <row r="109" spans="1:104">
      <c r="A109" t="s">
        <v>69</v>
      </c>
    </row>
    <row r="110" spans="1:104">
      <c r="A110" t="s">
        <v>70</v>
      </c>
    </row>
    <row r="111" spans="1:104" s="8" customFormat="1" ht="15">
      <c r="A111" s="8" t="s">
        <v>71</v>
      </c>
      <c r="B111" s="9">
        <v>0</v>
      </c>
      <c r="C111" s="9">
        <v>80</v>
      </c>
      <c r="D111" s="9">
        <v>160</v>
      </c>
      <c r="E111" s="9">
        <v>310</v>
      </c>
      <c r="F111" s="9">
        <v>390</v>
      </c>
      <c r="G111" s="9">
        <v>470</v>
      </c>
      <c r="H111" s="9">
        <v>550</v>
      </c>
      <c r="I111" s="9">
        <v>630</v>
      </c>
      <c r="J111" s="9">
        <v>710</v>
      </c>
      <c r="K111" s="9">
        <v>790</v>
      </c>
      <c r="L111" s="9">
        <v>870</v>
      </c>
      <c r="M111" s="9">
        <v>950</v>
      </c>
      <c r="N111" s="9">
        <v>1030</v>
      </c>
      <c r="O111" s="9">
        <v>1110</v>
      </c>
      <c r="P111" s="9">
        <v>1190</v>
      </c>
      <c r="Q111" s="9">
        <v>1270</v>
      </c>
      <c r="R111" s="9">
        <v>1350</v>
      </c>
      <c r="S111" s="9">
        <v>1430</v>
      </c>
      <c r="T111" s="9">
        <v>1510</v>
      </c>
      <c r="U111" s="9">
        <v>1590</v>
      </c>
      <c r="V111" s="9">
        <v>1670</v>
      </c>
      <c r="W111" s="9">
        <v>1750</v>
      </c>
      <c r="X111" s="9">
        <v>1830</v>
      </c>
      <c r="Y111" s="9">
        <v>1910</v>
      </c>
      <c r="Z111" s="9">
        <v>1990</v>
      </c>
      <c r="AA111" s="9">
        <v>2070</v>
      </c>
      <c r="AB111" s="9">
        <v>2150</v>
      </c>
      <c r="AC111" s="9">
        <v>2230</v>
      </c>
      <c r="AD111" s="9">
        <v>2310</v>
      </c>
      <c r="AE111" s="9">
        <v>2390</v>
      </c>
      <c r="AF111" s="9">
        <v>2470</v>
      </c>
      <c r="AG111" s="9">
        <v>2550</v>
      </c>
      <c r="AH111" s="9">
        <v>2630</v>
      </c>
      <c r="AI111" s="9">
        <v>2710</v>
      </c>
      <c r="AJ111" s="9">
        <v>2790</v>
      </c>
      <c r="AK111" s="9">
        <v>2870</v>
      </c>
      <c r="AL111" s="9">
        <v>2950</v>
      </c>
      <c r="AM111" s="9">
        <v>3030</v>
      </c>
      <c r="AN111" s="9">
        <v>3110</v>
      </c>
      <c r="AO111" s="9">
        <v>3190</v>
      </c>
      <c r="AP111" s="9">
        <v>3270</v>
      </c>
      <c r="AQ111" s="9">
        <v>3350</v>
      </c>
      <c r="AR111" s="9">
        <v>3430</v>
      </c>
      <c r="AS111" s="9">
        <v>3510</v>
      </c>
      <c r="AT111" s="9">
        <v>3590</v>
      </c>
      <c r="AU111" s="9">
        <v>3670</v>
      </c>
      <c r="AV111" s="9">
        <v>3750</v>
      </c>
      <c r="AW111" s="9">
        <v>3830</v>
      </c>
      <c r="AX111" s="9">
        <v>3910</v>
      </c>
      <c r="AY111" s="9">
        <v>3990</v>
      </c>
      <c r="AZ111" s="9">
        <v>4070</v>
      </c>
      <c r="BA111" s="9">
        <v>4150</v>
      </c>
      <c r="BB111" s="9">
        <v>4230</v>
      </c>
      <c r="BC111" s="9">
        <v>4310</v>
      </c>
      <c r="BD111" s="9">
        <v>4390</v>
      </c>
      <c r="BE111" s="9">
        <v>4470</v>
      </c>
      <c r="BF111" s="9">
        <v>4550</v>
      </c>
      <c r="BG111" s="9">
        <v>4630</v>
      </c>
      <c r="BH111" s="9">
        <v>4710</v>
      </c>
      <c r="BI111" s="9">
        <v>4790</v>
      </c>
      <c r="BJ111" s="9">
        <v>4870</v>
      </c>
      <c r="BK111" s="9">
        <v>4950</v>
      </c>
      <c r="BL111" s="9">
        <v>5030</v>
      </c>
      <c r="BM111" s="9">
        <v>5110</v>
      </c>
      <c r="BN111" s="9">
        <v>5230</v>
      </c>
      <c r="BO111" s="9">
        <v>5350</v>
      </c>
      <c r="BP111" s="9">
        <v>5470</v>
      </c>
      <c r="BQ111" s="9">
        <v>5590</v>
      </c>
      <c r="BR111" s="9">
        <v>5710</v>
      </c>
      <c r="BS111" s="9">
        <v>5830</v>
      </c>
      <c r="BT111" s="9">
        <v>5950</v>
      </c>
      <c r="BU111" s="9">
        <v>6070</v>
      </c>
      <c r="BV111" s="9">
        <v>6190</v>
      </c>
      <c r="BW111" s="9">
        <v>6310</v>
      </c>
      <c r="BX111" s="9">
        <v>6430</v>
      </c>
      <c r="BY111" s="9">
        <v>6550</v>
      </c>
      <c r="BZ111" s="9">
        <v>6670</v>
      </c>
      <c r="CA111" s="9">
        <v>6790</v>
      </c>
      <c r="CB111" s="9">
        <v>6910</v>
      </c>
      <c r="CC111" s="9">
        <v>7030</v>
      </c>
      <c r="CD111" s="9">
        <v>7150</v>
      </c>
      <c r="CE111" s="9">
        <v>7270</v>
      </c>
      <c r="CF111" s="9">
        <v>7390</v>
      </c>
      <c r="CG111" s="9">
        <v>7510</v>
      </c>
      <c r="CH111" s="9">
        <v>7630</v>
      </c>
      <c r="CI111" s="9">
        <v>7750</v>
      </c>
      <c r="CJ111" s="9">
        <v>7870</v>
      </c>
      <c r="CK111" s="9">
        <v>7990</v>
      </c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</row>
    <row r="112" spans="1:104">
      <c r="A112" s="10" t="s">
        <v>72</v>
      </c>
      <c r="B112">
        <v>0.2545</v>
      </c>
      <c r="C112">
        <v>0.2545</v>
      </c>
      <c r="D112">
        <v>0.25440000000000002</v>
      </c>
      <c r="E112">
        <v>0.25459999999999999</v>
      </c>
      <c r="F112">
        <v>0.24879999999999999</v>
      </c>
      <c r="G112">
        <v>0.24110000000000001</v>
      </c>
      <c r="H112">
        <v>0.23880000000000001</v>
      </c>
      <c r="I112">
        <v>0.23649999999999999</v>
      </c>
      <c r="J112">
        <v>0.23480000000000001</v>
      </c>
      <c r="K112">
        <v>0.23119999999999999</v>
      </c>
      <c r="L112">
        <v>0.2311</v>
      </c>
      <c r="M112">
        <v>0.23080000000000001</v>
      </c>
      <c r="N112">
        <v>0.22140000000000001</v>
      </c>
      <c r="O112">
        <v>0.22070000000000001</v>
      </c>
      <c r="P112">
        <v>0.21890000000000001</v>
      </c>
      <c r="Q112">
        <v>0.2175</v>
      </c>
      <c r="R112">
        <v>0.2157</v>
      </c>
      <c r="S112">
        <v>0.2185</v>
      </c>
      <c r="T112">
        <v>0.21540000000000001</v>
      </c>
      <c r="U112">
        <v>0.2109</v>
      </c>
      <c r="V112">
        <v>0.2087</v>
      </c>
      <c r="W112">
        <v>0.2064</v>
      </c>
      <c r="X112">
        <v>0.20330000000000001</v>
      </c>
      <c r="Y112">
        <v>0.20069999999999999</v>
      </c>
      <c r="Z112">
        <v>0.19850000000000001</v>
      </c>
      <c r="AA112">
        <v>0.19550000000000001</v>
      </c>
      <c r="AB112">
        <v>0.19070000000000001</v>
      </c>
      <c r="AC112">
        <v>0.19209999999999999</v>
      </c>
      <c r="AD112">
        <v>0.18870000000000001</v>
      </c>
      <c r="AE112">
        <v>0.18440000000000001</v>
      </c>
      <c r="AF112">
        <v>0.1802</v>
      </c>
      <c r="AG112">
        <v>0.18</v>
      </c>
      <c r="AH112">
        <v>0.1749</v>
      </c>
      <c r="AI112">
        <v>0.1711</v>
      </c>
      <c r="AJ112">
        <v>0.16520000000000001</v>
      </c>
      <c r="AK112">
        <v>0.17</v>
      </c>
      <c r="AL112">
        <v>0.16611999999999999</v>
      </c>
      <c r="AM112">
        <v>0.16070000000000001</v>
      </c>
      <c r="AN112">
        <v>0.15939999999999999</v>
      </c>
      <c r="AO112">
        <v>0.14249999999999999</v>
      </c>
      <c r="AP112">
        <v>0.14581</v>
      </c>
      <c r="AQ112">
        <v>0.1452</v>
      </c>
      <c r="AR112">
        <v>0.14269999999999999</v>
      </c>
      <c r="AS112">
        <v>0.1411</v>
      </c>
      <c r="AT112">
        <v>0.13850000000000001</v>
      </c>
      <c r="AU112">
        <v>0.13239999999999999</v>
      </c>
      <c r="AV112">
        <v>0.13519999999999999</v>
      </c>
      <c r="AW112">
        <v>0.13109999999999999</v>
      </c>
      <c r="AX112">
        <v>0.12540000000000001</v>
      </c>
      <c r="AY112">
        <v>0.12855</v>
      </c>
      <c r="AZ112">
        <v>0.12470000000000001</v>
      </c>
      <c r="BA112">
        <v>0.1244</v>
      </c>
      <c r="BB112">
        <v>0.12139999999999999</v>
      </c>
      <c r="BC112">
        <v>0.1205</v>
      </c>
      <c r="BD112">
        <v>0.1241</v>
      </c>
      <c r="BE112">
        <v>0.1241</v>
      </c>
      <c r="BF112">
        <v>0.12</v>
      </c>
      <c r="BG112">
        <v>0.12</v>
      </c>
      <c r="BH112">
        <v>0.1125</v>
      </c>
      <c r="BI112">
        <v>0.1182</v>
      </c>
      <c r="BJ112">
        <v>0.1124</v>
      </c>
      <c r="BK112">
        <v>0.1105</v>
      </c>
      <c r="BL112">
        <v>0.1124</v>
      </c>
      <c r="BM112">
        <v>0.11210000000000001</v>
      </c>
      <c r="BN112">
        <v>0.11210000000000001</v>
      </c>
      <c r="BO112">
        <v>0.1105</v>
      </c>
      <c r="BP112">
        <v>0.1104</v>
      </c>
      <c r="BQ112">
        <v>0.11119999999999999</v>
      </c>
      <c r="BR112">
        <v>0.10879999999999999</v>
      </c>
      <c r="BS112">
        <v>0.10249999999999999</v>
      </c>
      <c r="BT112">
        <v>0.1027</v>
      </c>
      <c r="BU112">
        <v>0.10290000000000001</v>
      </c>
      <c r="BV112">
        <v>0.1022</v>
      </c>
      <c r="BW112">
        <v>0.1024</v>
      </c>
      <c r="BX112">
        <v>0.1002</v>
      </c>
      <c r="BY112">
        <v>0.1021</v>
      </c>
      <c r="BZ112">
        <v>0.1008</v>
      </c>
      <c r="CA112">
        <v>0.1022</v>
      </c>
      <c r="CB112">
        <v>0.1007</v>
      </c>
      <c r="CC112">
        <v>0.10199999999999999</v>
      </c>
      <c r="CD112">
        <v>0.10009999999999999</v>
      </c>
      <c r="CE112">
        <v>0.10249999999999999</v>
      </c>
      <c r="CF112">
        <v>0.1007</v>
      </c>
      <c r="CG112">
        <v>0.1</v>
      </c>
      <c r="CH112">
        <v>9.98E-2</v>
      </c>
      <c r="CI112">
        <v>0.10050000000000001</v>
      </c>
      <c r="CJ112">
        <v>0.10050000000000001</v>
      </c>
      <c r="CK112">
        <v>9.9599999999999994E-2</v>
      </c>
    </row>
    <row r="113" spans="1:89">
      <c r="A113" s="10" t="s">
        <v>73</v>
      </c>
      <c r="B113">
        <v>0.25590000000000002</v>
      </c>
      <c r="C113">
        <v>0.25440000000000002</v>
      </c>
      <c r="D113">
        <v>0.25430000000000003</v>
      </c>
      <c r="E113">
        <v>0.25359999999999999</v>
      </c>
      <c r="F113">
        <v>0.25440000000000002</v>
      </c>
      <c r="G113">
        <v>0.25729999999999997</v>
      </c>
      <c r="H113">
        <v>0.25419999999999998</v>
      </c>
      <c r="I113">
        <v>0.25335999999999997</v>
      </c>
      <c r="J113">
        <v>0.25369000000000003</v>
      </c>
      <c r="K113">
        <v>0.25425999999999999</v>
      </c>
      <c r="L113">
        <v>0.25364999999999999</v>
      </c>
      <c r="M113">
        <v>0.25663000000000002</v>
      </c>
      <c r="N113">
        <v>0.25140000000000001</v>
      </c>
      <c r="O113">
        <v>0.25190000000000001</v>
      </c>
      <c r="P113">
        <v>0.25359999999999999</v>
      </c>
      <c r="Q113">
        <v>0.25419999999999998</v>
      </c>
      <c r="R113">
        <v>0.25419999999999998</v>
      </c>
      <c r="S113">
        <v>0.25409999999999999</v>
      </c>
      <c r="T113">
        <v>0.25409999999999999</v>
      </c>
      <c r="U113">
        <v>0.25109999999999999</v>
      </c>
      <c r="V113">
        <v>0.25230000000000002</v>
      </c>
      <c r="W113">
        <v>0.25319999999999998</v>
      </c>
      <c r="X113">
        <v>0.25140000000000001</v>
      </c>
      <c r="Y113">
        <v>0.25120999999999999</v>
      </c>
      <c r="Z113">
        <v>0.25359999999999999</v>
      </c>
      <c r="AA113">
        <v>0.25140000000000001</v>
      </c>
      <c r="AB113">
        <v>0.25319999999999998</v>
      </c>
      <c r="AC113">
        <v>0.25409999999999999</v>
      </c>
      <c r="AD113">
        <v>0.25411</v>
      </c>
      <c r="AE113">
        <v>0.25409999999999999</v>
      </c>
      <c r="AF113">
        <v>0.25140000000000001</v>
      </c>
      <c r="AG113">
        <v>0.25879999999999997</v>
      </c>
      <c r="AH113">
        <v>0.2535</v>
      </c>
      <c r="AI113">
        <v>0.25109999999999999</v>
      </c>
      <c r="AJ113">
        <v>0.25019999999999998</v>
      </c>
      <c r="AK113">
        <v>0.25</v>
      </c>
      <c r="AL113">
        <v>0.25411</v>
      </c>
      <c r="AM113">
        <v>0.24510000000000001</v>
      </c>
      <c r="AN113">
        <v>0.2442</v>
      </c>
      <c r="AO113">
        <v>0.24149999999999999</v>
      </c>
      <c r="AP113">
        <v>0.24590000000000001</v>
      </c>
      <c r="AQ113">
        <v>0.24587999999999999</v>
      </c>
      <c r="AR113">
        <v>0.24260000000000001</v>
      </c>
      <c r="AS113">
        <v>0.25559999999999999</v>
      </c>
      <c r="AT113">
        <v>0.24410000000000001</v>
      </c>
      <c r="AU113">
        <v>0.24149999999999999</v>
      </c>
      <c r="AV113">
        <v>0.24149999999999999</v>
      </c>
      <c r="AW113">
        <v>0.24110000000000001</v>
      </c>
      <c r="AX113">
        <v>0.24079999999999999</v>
      </c>
      <c r="AY113">
        <v>0.24052000000000001</v>
      </c>
      <c r="AZ113">
        <v>0.24110000000000001</v>
      </c>
      <c r="BA113">
        <v>0.24560000000000001</v>
      </c>
      <c r="BB113">
        <v>0.24149999999999999</v>
      </c>
      <c r="BC113">
        <v>0.24510000000000001</v>
      </c>
      <c r="BD113">
        <v>0.24110000000000001</v>
      </c>
      <c r="BE113">
        <v>0.2407</v>
      </c>
      <c r="BF113">
        <v>0.24</v>
      </c>
      <c r="BG113">
        <v>0.2452</v>
      </c>
      <c r="BH113">
        <v>0.2399</v>
      </c>
      <c r="BI113">
        <v>0.23549999999999999</v>
      </c>
      <c r="BJ113">
        <v>0.2389</v>
      </c>
      <c r="BK113">
        <v>0.24010000000000001</v>
      </c>
      <c r="BL113">
        <v>0.23039999999999999</v>
      </c>
      <c r="BM113">
        <v>0.2356</v>
      </c>
      <c r="BN113">
        <v>0.2344</v>
      </c>
      <c r="BO113">
        <v>0.23769999999999999</v>
      </c>
      <c r="BP113">
        <v>0.24010000000000001</v>
      </c>
      <c r="BQ113">
        <v>0.23960000000000001</v>
      </c>
      <c r="BR113">
        <v>0.23569999999999999</v>
      </c>
      <c r="BS113">
        <v>0.23555999999999999</v>
      </c>
      <c r="BT113">
        <v>0.2354</v>
      </c>
      <c r="BU113">
        <v>0.23649999999999999</v>
      </c>
      <c r="BV113">
        <v>0.2354</v>
      </c>
      <c r="BW113">
        <v>0.23769999999999999</v>
      </c>
      <c r="BX113">
        <v>0.2369</v>
      </c>
      <c r="BY113">
        <v>0.2344</v>
      </c>
      <c r="BZ113">
        <v>0.23544699999999999</v>
      </c>
      <c r="CA113">
        <v>0.23585</v>
      </c>
      <c r="CB113">
        <v>0.23544000000000001</v>
      </c>
      <c r="CC113">
        <v>0.24010000000000001</v>
      </c>
      <c r="CD113">
        <v>0.23694999999999999</v>
      </c>
      <c r="CE113">
        <v>0.24440000000000001</v>
      </c>
      <c r="CF113">
        <v>0.23089999999999999</v>
      </c>
      <c r="CG113">
        <v>0.23699600000000001</v>
      </c>
      <c r="CH113">
        <v>0.232152</v>
      </c>
      <c r="CI113">
        <v>0.23525399999999999</v>
      </c>
      <c r="CJ113">
        <v>0.24099999999999999</v>
      </c>
      <c r="CK113">
        <v>0.2399</v>
      </c>
    </row>
    <row r="114" spans="1:89">
      <c r="A114" s="10" t="s">
        <v>74</v>
      </c>
      <c r="B114">
        <v>0.26150000000000001</v>
      </c>
      <c r="C114">
        <v>0.25990000000000002</v>
      </c>
      <c r="D114">
        <v>0.25869999999999999</v>
      </c>
      <c r="E114">
        <v>0.2581</v>
      </c>
      <c r="F114">
        <v>0.25629999999999997</v>
      </c>
      <c r="G114">
        <v>0.25140000000000001</v>
      </c>
      <c r="H114">
        <v>0.25119999999999998</v>
      </c>
      <c r="I114">
        <v>0.25080000000000002</v>
      </c>
      <c r="J114">
        <v>0.24979999999999999</v>
      </c>
      <c r="K114">
        <v>0.2492</v>
      </c>
      <c r="L114">
        <v>0.2467</v>
      </c>
      <c r="M114">
        <v>0.24629999999999999</v>
      </c>
      <c r="N114">
        <v>0.24149999999999999</v>
      </c>
      <c r="O114">
        <v>0.24229999999999999</v>
      </c>
      <c r="P114">
        <v>0.24110000000000001</v>
      </c>
      <c r="Q114">
        <v>0.2389</v>
      </c>
      <c r="R114">
        <v>0.23680000000000001</v>
      </c>
      <c r="S114">
        <v>0.23710000000000001</v>
      </c>
      <c r="T114">
        <v>0.23119999999999999</v>
      </c>
      <c r="U114">
        <v>0.2344</v>
      </c>
      <c r="V114">
        <v>0.2311</v>
      </c>
      <c r="W114">
        <v>0.23449999999999999</v>
      </c>
      <c r="X114">
        <v>0.23369999999999999</v>
      </c>
      <c r="Y114">
        <v>0.23139999999999999</v>
      </c>
      <c r="Z114">
        <v>0.22800000000000001</v>
      </c>
      <c r="AA114">
        <v>0.2271</v>
      </c>
      <c r="AB114">
        <v>0.22140000000000001</v>
      </c>
      <c r="AC114">
        <v>0.22359999999999999</v>
      </c>
      <c r="AD114">
        <v>0.22040000000000001</v>
      </c>
      <c r="AE114">
        <v>0.22140000000000001</v>
      </c>
      <c r="AF114">
        <v>0.22140000000000001</v>
      </c>
      <c r="AG114">
        <v>0.22040000000000001</v>
      </c>
      <c r="AH114">
        <v>0.21929999999999999</v>
      </c>
      <c r="AI114">
        <v>0.2185</v>
      </c>
      <c r="AJ114">
        <v>0.21587000000000001</v>
      </c>
      <c r="AK114">
        <v>0.21110000000000001</v>
      </c>
      <c r="AL114">
        <v>0.21079999999999999</v>
      </c>
      <c r="AM114">
        <v>0.2107</v>
      </c>
      <c r="AN114">
        <v>0.20519999999999999</v>
      </c>
      <c r="AO114">
        <v>0.20169999999999999</v>
      </c>
      <c r="AP114">
        <v>0.20069999999999999</v>
      </c>
      <c r="AQ114">
        <v>0.20419999999999999</v>
      </c>
      <c r="AR114">
        <v>0.20449999999999999</v>
      </c>
      <c r="AS114">
        <v>0.19889999999999999</v>
      </c>
      <c r="AT114">
        <v>0.19550000000000001</v>
      </c>
      <c r="AU114">
        <v>0.19420000000000001</v>
      </c>
      <c r="AV114">
        <v>0.19220000000000001</v>
      </c>
      <c r="AW114">
        <v>0.1908</v>
      </c>
      <c r="AX114">
        <v>0.19</v>
      </c>
      <c r="AY114">
        <v>0.18890000000000001</v>
      </c>
      <c r="AZ114">
        <v>0.1855</v>
      </c>
      <c r="BA114">
        <v>0.1842</v>
      </c>
      <c r="BB114">
        <v>0.1842</v>
      </c>
      <c r="BC114">
        <v>0.1832</v>
      </c>
      <c r="BD114">
        <v>0.182</v>
      </c>
      <c r="BE114">
        <v>0.18240000000000001</v>
      </c>
      <c r="BF114">
        <v>0.18110000000000001</v>
      </c>
      <c r="BG114">
        <v>0.1807</v>
      </c>
      <c r="BH114">
        <v>0.1799</v>
      </c>
      <c r="BI114">
        <v>0.1782</v>
      </c>
      <c r="BJ114">
        <v>0.1772</v>
      </c>
      <c r="BK114">
        <v>0.17249999999999999</v>
      </c>
      <c r="BL114">
        <v>0.17299999999999999</v>
      </c>
      <c r="BM114">
        <v>0.17100000000000001</v>
      </c>
      <c r="BN114">
        <v>0.17452000000000001</v>
      </c>
      <c r="BO114">
        <v>0.17050000000000001</v>
      </c>
      <c r="BP114">
        <v>0.1686</v>
      </c>
      <c r="BQ114">
        <v>0.16889999999999999</v>
      </c>
      <c r="BR114">
        <v>0.16719999999999999</v>
      </c>
      <c r="BS114">
        <v>0.16789999999999999</v>
      </c>
      <c r="BT114">
        <v>0.16200000000000001</v>
      </c>
      <c r="BU114">
        <v>0.16550000000000001</v>
      </c>
      <c r="BV114">
        <v>0.16350000000000001</v>
      </c>
      <c r="BW114">
        <v>0.16300000000000001</v>
      </c>
      <c r="BX114">
        <v>0.16320000000000001</v>
      </c>
      <c r="BY114">
        <v>0.16270000000000001</v>
      </c>
      <c r="BZ114">
        <v>0.16289999999999999</v>
      </c>
      <c r="CA114">
        <v>0.16220000000000001</v>
      </c>
      <c r="CB114">
        <v>0.16200000000000001</v>
      </c>
      <c r="CC114">
        <v>0.16170000000000001</v>
      </c>
      <c r="CD114">
        <v>0.1608</v>
      </c>
      <c r="CE114">
        <v>0.1608</v>
      </c>
      <c r="CF114">
        <v>0.16020000000000001</v>
      </c>
      <c r="CG114">
        <v>0.15890000000000001</v>
      </c>
      <c r="CH114">
        <v>0.15859999999999999</v>
      </c>
      <c r="CI114">
        <v>0.15740000000000001</v>
      </c>
      <c r="CJ114">
        <v>0.16020000000000001</v>
      </c>
      <c r="CK114">
        <v>0.157</v>
      </c>
    </row>
    <row r="115" spans="1:89">
      <c r="A115" s="10" t="s">
        <v>75</v>
      </c>
      <c r="B115">
        <v>0.25414999999999999</v>
      </c>
      <c r="C115">
        <v>0.25890000000000002</v>
      </c>
      <c r="D115">
        <v>0.25080000000000002</v>
      </c>
      <c r="E115">
        <v>0.25440000000000002</v>
      </c>
      <c r="F115">
        <v>0.25240000000000001</v>
      </c>
      <c r="G115">
        <v>0.2525</v>
      </c>
      <c r="H115">
        <v>0.25019999999999998</v>
      </c>
      <c r="I115">
        <v>0.24998000000000001</v>
      </c>
      <c r="J115">
        <v>0.249</v>
      </c>
      <c r="K115">
        <v>0.2495</v>
      </c>
      <c r="L115">
        <v>0.2457</v>
      </c>
      <c r="M115">
        <v>0.2427</v>
      </c>
      <c r="N115">
        <v>0.24249999999999999</v>
      </c>
      <c r="O115">
        <v>0.2417</v>
      </c>
      <c r="P115">
        <v>0.24149999999999999</v>
      </c>
      <c r="Q115">
        <v>0.2409</v>
      </c>
      <c r="R115">
        <v>0.23980000000000001</v>
      </c>
      <c r="S115">
        <v>0.23849999999999999</v>
      </c>
      <c r="T115">
        <v>0.23549999999999999</v>
      </c>
      <c r="U115">
        <v>0.23419999999999999</v>
      </c>
      <c r="V115">
        <v>0.23230000000000001</v>
      </c>
      <c r="W115">
        <v>0.23219999999999999</v>
      </c>
      <c r="X115">
        <v>0.2319</v>
      </c>
      <c r="Y115">
        <v>0.2324</v>
      </c>
      <c r="Z115">
        <v>0.23119999999999999</v>
      </c>
      <c r="AA115">
        <v>0.23080000000000001</v>
      </c>
      <c r="AB115">
        <v>0.2301</v>
      </c>
      <c r="AC115">
        <v>0.22889999999999999</v>
      </c>
      <c r="AD115">
        <v>0.2291</v>
      </c>
      <c r="AE115">
        <v>0.22539999999999999</v>
      </c>
      <c r="AF115">
        <v>0.22289999999999999</v>
      </c>
      <c r="AG115">
        <v>0.22309999999999999</v>
      </c>
      <c r="AH115">
        <v>0.22170000000000001</v>
      </c>
      <c r="AI115">
        <v>0.22070000000000001</v>
      </c>
      <c r="AJ115">
        <v>0.22009999999999999</v>
      </c>
      <c r="AK115">
        <v>0.2195</v>
      </c>
      <c r="AL115">
        <v>0.21820000000000001</v>
      </c>
      <c r="AM115">
        <v>0.2172</v>
      </c>
      <c r="AN115">
        <v>0.2152</v>
      </c>
      <c r="AO115">
        <v>0.21149999999999999</v>
      </c>
      <c r="AP115">
        <v>0.21110000000000001</v>
      </c>
      <c r="AQ115">
        <v>0.2104</v>
      </c>
      <c r="AR115">
        <v>0.20949999999999999</v>
      </c>
      <c r="AS115">
        <v>0.20860000000000001</v>
      </c>
      <c r="AT115">
        <v>0.2072</v>
      </c>
      <c r="AU115">
        <v>0.20419999999999999</v>
      </c>
      <c r="AV115">
        <v>0.20169999999999999</v>
      </c>
      <c r="AW115">
        <v>0.2011</v>
      </c>
      <c r="AX115">
        <v>0.2014</v>
      </c>
      <c r="AY115">
        <v>0.19889999999999999</v>
      </c>
      <c r="AZ115">
        <v>0.19719999999999999</v>
      </c>
      <c r="BA115">
        <v>0.19639999999999999</v>
      </c>
      <c r="BB115">
        <v>0.19520000000000001</v>
      </c>
      <c r="BC115">
        <v>0.1925</v>
      </c>
      <c r="BD115">
        <v>0.193</v>
      </c>
      <c r="BE115">
        <v>0.192</v>
      </c>
      <c r="BF115">
        <v>0.1908</v>
      </c>
      <c r="BG115">
        <v>0.19</v>
      </c>
      <c r="BH115">
        <v>0.18820000000000001</v>
      </c>
      <c r="BI115">
        <v>0.1852</v>
      </c>
      <c r="BJ115">
        <v>0.18440000000000001</v>
      </c>
      <c r="BK115">
        <v>0.18229999999999999</v>
      </c>
      <c r="BL115">
        <v>0.18190000000000001</v>
      </c>
      <c r="BM115">
        <v>0.182</v>
      </c>
      <c r="BN115">
        <v>0.18240000000000001</v>
      </c>
      <c r="BO115">
        <v>0.17979999999999999</v>
      </c>
      <c r="BP115">
        <v>0.1782</v>
      </c>
      <c r="BQ115">
        <v>0.17560000000000001</v>
      </c>
      <c r="BR115">
        <v>0.17230000000000001</v>
      </c>
      <c r="BS115">
        <v>0.17230000000000001</v>
      </c>
      <c r="BT115">
        <v>0.1721</v>
      </c>
      <c r="BU115">
        <v>0.1724</v>
      </c>
      <c r="BV115">
        <v>0.1711</v>
      </c>
      <c r="BW115">
        <v>0.17150000000000001</v>
      </c>
      <c r="BX115">
        <v>0.17080000000000001</v>
      </c>
      <c r="BY115">
        <v>0.1704</v>
      </c>
      <c r="BZ115">
        <v>0.17019999999999999</v>
      </c>
      <c r="CA115">
        <v>0.17150000000000001</v>
      </c>
      <c r="CB115">
        <v>0.17100000000000001</v>
      </c>
      <c r="CC115">
        <v>0.1704</v>
      </c>
      <c r="CD115">
        <v>0.1701</v>
      </c>
      <c r="CE115">
        <v>0.16980000000000001</v>
      </c>
      <c r="CF115">
        <v>0.16919999999999999</v>
      </c>
      <c r="CG115">
        <v>0.16889999999999999</v>
      </c>
      <c r="CH115">
        <v>0.1681</v>
      </c>
      <c r="CI115">
        <v>0.16819999999999999</v>
      </c>
      <c r="CJ115">
        <v>0.1658</v>
      </c>
      <c r="CK115">
        <v>0.16550000000000001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1"/>
  <sheetViews>
    <sheetView topLeftCell="A69" workbookViewId="0">
      <selection activeCell="G142" sqref="G142"/>
    </sheetView>
  </sheetViews>
  <sheetFormatPr baseColWidth="10" defaultRowHeight="16"/>
  <cols>
    <col min="1" max="1" width="18.83203125" customWidth="1"/>
    <col min="6" max="6" width="15" customWidth="1"/>
    <col min="7" max="7" width="15.5" customWidth="1"/>
  </cols>
  <sheetData>
    <row r="1" spans="1:8" ht="19">
      <c r="A1" s="2" t="s">
        <v>196</v>
      </c>
    </row>
    <row r="2" spans="1:8">
      <c r="A2" s="49" t="s">
        <v>197</v>
      </c>
      <c r="B2" s="49" t="s">
        <v>127</v>
      </c>
      <c r="C2" s="49" t="s">
        <v>42</v>
      </c>
      <c r="D2" s="49" t="s">
        <v>107</v>
      </c>
      <c r="E2" s="49" t="s">
        <v>108</v>
      </c>
      <c r="F2" s="49" t="s">
        <v>189</v>
      </c>
      <c r="G2" s="49" t="s">
        <v>159</v>
      </c>
      <c r="H2" s="49" t="s">
        <v>109</v>
      </c>
    </row>
    <row r="3" spans="1:8">
      <c r="A3" s="48">
        <v>12.1082</v>
      </c>
      <c r="B3" s="48">
        <v>12.815200000000001</v>
      </c>
      <c r="C3" s="48">
        <v>4.6494099999999996</v>
      </c>
      <c r="D3" s="48">
        <v>3.1882299999999999</v>
      </c>
      <c r="E3" s="48">
        <v>3.0595699999999999</v>
      </c>
      <c r="F3" s="48">
        <v>0.955322</v>
      </c>
      <c r="G3" s="48">
        <v>8.8583999999999996</v>
      </c>
      <c r="H3" s="48">
        <v>9.78247</v>
      </c>
    </row>
    <row r="4" spans="1:8">
      <c r="A4" s="48">
        <v>9.1425800000000006</v>
      </c>
      <c r="B4" s="48">
        <v>17.783899999999999</v>
      </c>
      <c r="C4" s="48">
        <v>3.7275399999999999</v>
      </c>
      <c r="D4" s="48">
        <v>2.4904799999999998</v>
      </c>
      <c r="E4" s="48">
        <v>2.8769499999999999</v>
      </c>
      <c r="F4" s="48">
        <v>1.2072799999999999</v>
      </c>
      <c r="G4" s="48">
        <v>10.6729</v>
      </c>
      <c r="H4" s="48">
        <v>7.5004900000000001</v>
      </c>
    </row>
    <row r="5" spans="1:8">
      <c r="A5" s="48">
        <v>6.1669900000000002</v>
      </c>
      <c r="B5" s="48">
        <v>10.25465</v>
      </c>
      <c r="C5" s="48">
        <v>6.27881</v>
      </c>
      <c r="D5" s="48">
        <v>4.4982899999999999</v>
      </c>
      <c r="E5" s="48">
        <v>6.5969199999999999</v>
      </c>
      <c r="F5" s="48">
        <v>1.99878</v>
      </c>
      <c r="G5" s="48">
        <v>9.4047900000000002</v>
      </c>
      <c r="H5" s="48">
        <v>9.7912599999999994</v>
      </c>
    </row>
    <row r="6" spans="1:8">
      <c r="A6" s="48">
        <v>8.5336599999999994</v>
      </c>
      <c r="B6" s="48">
        <v>9.8897980000000008</v>
      </c>
      <c r="C6" s="48">
        <v>5.6059599999999996</v>
      </c>
      <c r="D6" s="48">
        <v>4.7321780000000002</v>
      </c>
      <c r="E6" s="48">
        <v>3.1396500000000001</v>
      </c>
      <c r="F6" s="48">
        <v>1.4091800000000001</v>
      </c>
      <c r="G6" s="48">
        <v>9.2309599999999996</v>
      </c>
      <c r="H6" s="48">
        <v>10.7446</v>
      </c>
    </row>
    <row r="7" spans="1:8">
      <c r="A7" s="48">
        <v>15.9429</v>
      </c>
      <c r="B7" s="48">
        <v>8.5984660000000002</v>
      </c>
      <c r="C7" s="48">
        <v>2.2023899999999998</v>
      </c>
      <c r="D7" s="48">
        <v>1.4045399999999999</v>
      </c>
      <c r="E7" s="48">
        <v>2.9081999999999999</v>
      </c>
      <c r="F7" s="48">
        <v>1.39063</v>
      </c>
      <c r="G7" s="48">
        <v>20.317399999999999</v>
      </c>
      <c r="H7" s="48">
        <v>17.510300000000001</v>
      </c>
    </row>
    <row r="8" spans="1:8">
      <c r="A8" s="48">
        <v>12.8584</v>
      </c>
      <c r="B8" s="48">
        <v>11.256500000000001</v>
      </c>
      <c r="C8" s="48">
        <v>3.51416</v>
      </c>
      <c r="D8" s="48">
        <v>3.9944820000000001</v>
      </c>
      <c r="E8" s="48">
        <v>4.9628909999999999</v>
      </c>
      <c r="F8" s="48">
        <v>0.77539100000000005</v>
      </c>
      <c r="G8" s="48">
        <v>11.488799999999999</v>
      </c>
      <c r="H8" s="48">
        <v>9.8239099999999997</v>
      </c>
    </row>
    <row r="9" spans="1:8">
      <c r="A9" s="48">
        <v>10.6729</v>
      </c>
      <c r="B9" s="48">
        <v>12.36857</v>
      </c>
      <c r="C9" s="48">
        <v>7.2773399999999997</v>
      </c>
      <c r="D9" s="48">
        <v>2.6464799999999999</v>
      </c>
      <c r="E9" s="48">
        <v>2.1989700000000001</v>
      </c>
      <c r="F9" s="48">
        <v>0.43505899999999997</v>
      </c>
      <c r="G9" s="48">
        <v>12.1812</v>
      </c>
      <c r="H9" s="48">
        <v>7.4178499999999996</v>
      </c>
    </row>
    <row r="10" spans="1:8">
      <c r="A10" s="48">
        <v>9.4047900000000002</v>
      </c>
      <c r="B10" s="48">
        <v>14.6548</v>
      </c>
      <c r="C10" s="48">
        <v>4.6181599999999996</v>
      </c>
      <c r="D10" s="48">
        <v>3.8847700000000001</v>
      </c>
      <c r="E10" s="48">
        <v>3.6000999999999999</v>
      </c>
      <c r="F10" s="48">
        <v>0.61230499999999999</v>
      </c>
      <c r="G10" s="48">
        <v>12.5923</v>
      </c>
      <c r="H10" s="48">
        <v>8.49268</v>
      </c>
    </row>
    <row r="11" spans="1:8">
      <c r="A11" s="48">
        <v>20.317399999999999</v>
      </c>
      <c r="B11" s="48">
        <v>18.265499999999999</v>
      </c>
      <c r="C11" s="48">
        <v>4.0327099999999998</v>
      </c>
      <c r="D11" s="48">
        <v>3.7246100000000002</v>
      </c>
      <c r="E11" s="48">
        <v>2.8186</v>
      </c>
      <c r="F11" s="48">
        <v>1.71777</v>
      </c>
      <c r="G11" s="48">
        <v>10.3965</v>
      </c>
      <c r="H11" s="48">
        <v>23.7422</v>
      </c>
    </row>
    <row r="12" spans="1:8">
      <c r="A12" s="48">
        <v>11.488799999999999</v>
      </c>
      <c r="B12" s="48">
        <v>16.548649999999999</v>
      </c>
      <c r="C12" s="48">
        <v>3.4887700000000001</v>
      </c>
      <c r="D12" s="48">
        <v>7.7519499999999999</v>
      </c>
      <c r="E12" s="48">
        <v>5.1103500000000004</v>
      </c>
      <c r="F12" s="48">
        <v>2.1389200000000002</v>
      </c>
      <c r="G12" s="48">
        <v>11.440899999999999</v>
      </c>
      <c r="H12" s="48">
        <v>11.525</v>
      </c>
    </row>
    <row r="13" spans="1:8">
      <c r="A13" s="48">
        <v>12.1812</v>
      </c>
      <c r="B13" s="48">
        <v>9.6356490000000008</v>
      </c>
      <c r="C13" s="48">
        <v>2.2189899999999998</v>
      </c>
      <c r="D13" s="48">
        <v>6.7638670000000003</v>
      </c>
      <c r="E13" s="48">
        <v>2.3911099999999998</v>
      </c>
      <c r="F13" s="48">
        <v>3.8103600000000002</v>
      </c>
      <c r="G13" s="48">
        <v>21.1768</v>
      </c>
      <c r="H13" s="48">
        <v>16.301300000000001</v>
      </c>
    </row>
    <row r="14" spans="1:8">
      <c r="A14" s="48">
        <v>12.5923</v>
      </c>
      <c r="B14" s="48">
        <v>9.9998950000000004</v>
      </c>
      <c r="C14" s="48">
        <v>5.1159699999999999</v>
      </c>
      <c r="D14" s="48">
        <v>7.0107400000000002</v>
      </c>
      <c r="E14" s="48">
        <v>3.7133799999999999</v>
      </c>
      <c r="F14" s="48">
        <v>3.3099400000000001</v>
      </c>
      <c r="G14" s="48">
        <v>17.886700000000001</v>
      </c>
      <c r="H14" s="48">
        <v>9.2399900000000006</v>
      </c>
    </row>
    <row r="15" spans="1:8">
      <c r="A15" s="48">
        <v>8.9877900000000004</v>
      </c>
      <c r="B15" s="48">
        <v>8.6549849999999999</v>
      </c>
      <c r="C15" s="48">
        <v>3.0595699999999999</v>
      </c>
      <c r="D15" s="48">
        <v>2.85791</v>
      </c>
      <c r="E15" s="48">
        <v>6.2431599999999996</v>
      </c>
      <c r="F15" s="48">
        <v>0.88416499999999998</v>
      </c>
      <c r="G15" s="48">
        <v>15.4976</v>
      </c>
      <c r="H15" s="48">
        <v>6.3605999999999998</v>
      </c>
    </row>
    <row r="16" spans="1:8">
      <c r="A16" s="48">
        <v>10.1128</v>
      </c>
      <c r="B16" s="48">
        <v>9.9848949999999999</v>
      </c>
      <c r="C16" s="48">
        <v>2.8769499999999999</v>
      </c>
      <c r="D16" s="48">
        <v>3.30762</v>
      </c>
      <c r="E16" s="48">
        <v>3.87012</v>
      </c>
      <c r="F16" s="48">
        <v>0.98946500000000004</v>
      </c>
      <c r="G16" s="48">
        <v>12.98</v>
      </c>
      <c r="H16" s="48">
        <v>9.78247</v>
      </c>
    </row>
    <row r="17" spans="1:8">
      <c r="A17" s="48">
        <v>10.734400000000001</v>
      </c>
      <c r="B17" s="48">
        <v>19.25647</v>
      </c>
      <c r="C17" s="48">
        <v>3.5969199999999999</v>
      </c>
      <c r="D17" s="48">
        <v>2.1616200000000001</v>
      </c>
      <c r="E17" s="48">
        <v>4.9213899999999997</v>
      </c>
      <c r="F17" s="48">
        <v>0.99561699999999997</v>
      </c>
      <c r="G17" s="48">
        <v>17.5015</v>
      </c>
      <c r="H17" s="48">
        <v>7.5004900000000001</v>
      </c>
    </row>
    <row r="18" spans="1:8">
      <c r="A18" s="48">
        <v>12.625500000000001</v>
      </c>
      <c r="B18" s="48">
        <v>18.256489999999999</v>
      </c>
      <c r="C18" s="48">
        <v>3.1396500000000001</v>
      </c>
      <c r="D18" s="48">
        <v>4.818848</v>
      </c>
      <c r="E18" s="48">
        <v>3.9970699999999999</v>
      </c>
      <c r="F18" s="48">
        <v>1.521655</v>
      </c>
      <c r="G18" s="48">
        <v>10.923299999999999</v>
      </c>
      <c r="H18" s="48">
        <v>9.7912599999999994</v>
      </c>
    </row>
    <row r="19" spans="1:8">
      <c r="A19" s="48">
        <v>14.0786</v>
      </c>
      <c r="B19" s="48">
        <v>16.265470000000001</v>
      </c>
      <c r="C19" s="48">
        <v>2.9081999999999999</v>
      </c>
      <c r="D19" s="48">
        <v>2.2226599999999999</v>
      </c>
      <c r="E19" s="48">
        <v>2.8867189999999998</v>
      </c>
      <c r="F19" s="48">
        <v>1.256499</v>
      </c>
      <c r="G19" s="48">
        <v>13.7837</v>
      </c>
      <c r="H19" s="48">
        <v>15.7446</v>
      </c>
    </row>
    <row r="20" spans="1:8">
      <c r="A20" s="48">
        <v>9.8618199999999998</v>
      </c>
      <c r="B20" s="48">
        <v>11.25489</v>
      </c>
      <c r="C20" s="48">
        <v>5.0795899999999996</v>
      </c>
      <c r="D20" s="48">
        <v>5.6435550000000001</v>
      </c>
      <c r="E20" s="48">
        <v>5.7026399999999997</v>
      </c>
      <c r="F20" s="48">
        <v>2.265469</v>
      </c>
      <c r="G20" s="48">
        <v>8.4589800000000004</v>
      </c>
      <c r="H20" s="48">
        <v>17.510300000000001</v>
      </c>
    </row>
    <row r="21" spans="1:8">
      <c r="A21" s="48">
        <v>20.373999999999999</v>
      </c>
      <c r="B21" s="48">
        <v>10.154870000000001</v>
      </c>
      <c r="C21" s="48">
        <v>4.9814499999999997</v>
      </c>
      <c r="D21" s="48">
        <v>5.3779300000000001</v>
      </c>
      <c r="E21" s="48">
        <v>4.9342769999999998</v>
      </c>
      <c r="F21" s="48">
        <v>0.84654700000000005</v>
      </c>
      <c r="G21" s="48">
        <v>10.734400000000001</v>
      </c>
      <c r="H21" s="48">
        <v>16.265460000000001</v>
      </c>
    </row>
    <row r="22" spans="1:8">
      <c r="A22" s="48">
        <v>7.9970699999999999</v>
      </c>
      <c r="B22" s="48">
        <v>9.5474700000000006</v>
      </c>
      <c r="C22" s="48">
        <v>5.4765600000000001</v>
      </c>
      <c r="D22" s="48">
        <v>2.4472700000000001</v>
      </c>
      <c r="E22" s="48">
        <v>3.8899849999999998</v>
      </c>
      <c r="F22" s="48">
        <v>0.66546499999999997</v>
      </c>
      <c r="G22" s="48">
        <v>12.625500000000001</v>
      </c>
      <c r="H22" s="48">
        <v>8.3568800000000003</v>
      </c>
    </row>
    <row r="23" spans="1:8">
      <c r="A23" s="48"/>
      <c r="B23" s="48"/>
      <c r="C23" s="48"/>
      <c r="D23" s="48"/>
      <c r="E23" s="48"/>
      <c r="F23" s="48"/>
      <c r="G23" s="48">
        <v>14.0786</v>
      </c>
      <c r="H23" s="48"/>
    </row>
    <row r="24" spans="1:8">
      <c r="A24" s="48"/>
      <c r="B24" s="48"/>
      <c r="C24" s="48"/>
      <c r="D24" s="48"/>
      <c r="E24" s="48"/>
      <c r="F24" s="48"/>
      <c r="G24" s="48">
        <v>7.2729499999999998</v>
      </c>
      <c r="H24" s="48"/>
    </row>
    <row r="25" spans="1:8" ht="19">
      <c r="A25" s="2"/>
    </row>
    <row r="31" spans="1:8" ht="22" customHeight="1"/>
    <row r="38" spans="1:11" ht="19">
      <c r="A38" s="2" t="s">
        <v>194</v>
      </c>
    </row>
    <row r="39" spans="1:11">
      <c r="A39" s="1" t="s">
        <v>416</v>
      </c>
      <c r="B39" s="1"/>
      <c r="C39" s="1"/>
      <c r="D39" s="1"/>
      <c r="E39" s="1" t="s">
        <v>417</v>
      </c>
      <c r="F39" s="1"/>
      <c r="G39" s="1"/>
      <c r="H39" s="1"/>
      <c r="I39" s="1" t="s">
        <v>418</v>
      </c>
    </row>
    <row r="40" spans="1:11">
      <c r="A40" s="1" t="s">
        <v>28</v>
      </c>
      <c r="B40" s="1" t="s">
        <v>419</v>
      </c>
      <c r="C40" s="1" t="s">
        <v>420</v>
      </c>
      <c r="D40" s="1"/>
      <c r="E40" s="1" t="s">
        <v>28</v>
      </c>
      <c r="F40" s="1" t="s">
        <v>419</v>
      </c>
      <c r="G40" s="1" t="s">
        <v>420</v>
      </c>
      <c r="H40" s="1"/>
      <c r="I40" s="1" t="s">
        <v>28</v>
      </c>
      <c r="J40" s="1" t="s">
        <v>419</v>
      </c>
      <c r="K40" s="1" t="s">
        <v>420</v>
      </c>
    </row>
    <row r="41" spans="1:11">
      <c r="A41" t="s">
        <v>127</v>
      </c>
      <c r="B41">
        <v>9827.3259999999991</v>
      </c>
      <c r="C41">
        <f>B41/C61</f>
        <v>8805.7983994841943</v>
      </c>
      <c r="E41" t="s">
        <v>127</v>
      </c>
      <c r="F41">
        <v>18829.276000000002</v>
      </c>
      <c r="G41">
        <f>F41/G61</f>
        <v>15722.486665136259</v>
      </c>
      <c r="I41" t="s">
        <v>127</v>
      </c>
      <c r="J41">
        <v>13474.032999999999</v>
      </c>
      <c r="K41">
        <f>J41/K61</f>
        <v>13474.032999999999</v>
      </c>
    </row>
    <row r="42" spans="1:11">
      <c r="A42" t="s">
        <v>128</v>
      </c>
      <c r="B42">
        <v>4625.134</v>
      </c>
      <c r="C42">
        <f t="shared" ref="C42:C48" si="0">B42/C62</f>
        <v>4185.9833652681828</v>
      </c>
      <c r="E42" t="s">
        <v>128</v>
      </c>
      <c r="F42">
        <v>4385.598</v>
      </c>
      <c r="G42">
        <f t="shared" ref="G42:G48" si="1">F42/G62</f>
        <v>3866.492830128379</v>
      </c>
      <c r="I42" t="s">
        <v>128</v>
      </c>
      <c r="J42">
        <v>6666.2049999999999</v>
      </c>
      <c r="K42">
        <f t="shared" ref="K42:K48" si="2">J42/K62</f>
        <v>6517.059443332294</v>
      </c>
    </row>
    <row r="43" spans="1:11">
      <c r="A43" t="s">
        <v>158</v>
      </c>
      <c r="B43">
        <v>4541.8410000000003</v>
      </c>
      <c r="C43">
        <f t="shared" si="0"/>
        <v>4408.7829495587457</v>
      </c>
      <c r="E43" t="s">
        <v>158</v>
      </c>
      <c r="F43">
        <v>4840.598</v>
      </c>
      <c r="G43">
        <f t="shared" si="1"/>
        <v>4840.598</v>
      </c>
      <c r="I43" t="s">
        <v>158</v>
      </c>
      <c r="J43">
        <v>8488.69</v>
      </c>
      <c r="K43">
        <f t="shared" si="2"/>
        <v>8182.4225392963372</v>
      </c>
    </row>
    <row r="44" spans="1:11">
      <c r="A44" t="s">
        <v>421</v>
      </c>
      <c r="B44">
        <v>6573.5479999999998</v>
      </c>
      <c r="C44">
        <f t="shared" si="0"/>
        <v>6218.2585869904979</v>
      </c>
      <c r="E44" t="s">
        <v>421</v>
      </c>
      <c r="F44">
        <v>4494.8410000000003</v>
      </c>
      <c r="G44">
        <f t="shared" si="1"/>
        <v>3411.9885708347915</v>
      </c>
      <c r="I44" t="s">
        <v>421</v>
      </c>
      <c r="J44">
        <v>8948.1039999999994</v>
      </c>
      <c r="K44">
        <f t="shared" si="2"/>
        <v>8427.8142271904944</v>
      </c>
    </row>
    <row r="45" spans="1:11">
      <c r="A45" t="s">
        <v>107</v>
      </c>
      <c r="B45">
        <v>4676.2550000000001</v>
      </c>
      <c r="C45">
        <f t="shared" si="0"/>
        <v>4529.1153755631085</v>
      </c>
      <c r="E45" t="s">
        <v>107</v>
      </c>
      <c r="F45">
        <v>3931.0830000000001</v>
      </c>
      <c r="G45">
        <f t="shared" si="1"/>
        <v>2925.115090427681</v>
      </c>
      <c r="I45" t="s">
        <v>107</v>
      </c>
      <c r="J45">
        <v>5471.3969999999999</v>
      </c>
      <c r="K45">
        <f t="shared" si="2"/>
        <v>5062.2532062917553</v>
      </c>
    </row>
    <row r="46" spans="1:11">
      <c r="A46" t="s">
        <v>189</v>
      </c>
      <c r="B46">
        <v>5625.9620000000004</v>
      </c>
      <c r="C46">
        <f t="shared" si="0"/>
        <v>5625.9620000000004</v>
      </c>
      <c r="E46" t="s">
        <v>189</v>
      </c>
      <c r="F46">
        <v>4956.79</v>
      </c>
      <c r="G46">
        <f t="shared" si="1"/>
        <v>3531.1396922772578</v>
      </c>
      <c r="I46" t="s">
        <v>189</v>
      </c>
      <c r="J46">
        <v>4007.2759999999998</v>
      </c>
      <c r="K46">
        <f t="shared" si="2"/>
        <v>3773.9725524457526</v>
      </c>
    </row>
    <row r="47" spans="1:11">
      <c r="A47" t="s">
        <v>422</v>
      </c>
      <c r="B47">
        <v>11364.861000000001</v>
      </c>
      <c r="C47">
        <f t="shared" si="0"/>
        <v>10315.517539102788</v>
      </c>
      <c r="E47" t="s">
        <v>422</v>
      </c>
      <c r="F47">
        <v>21189.882000000001</v>
      </c>
      <c r="G47">
        <f t="shared" si="1"/>
        <v>13433.415332194309</v>
      </c>
      <c r="I47" t="s">
        <v>422</v>
      </c>
      <c r="J47">
        <v>8083.9830000000002</v>
      </c>
      <c r="K47">
        <f t="shared" si="2"/>
        <v>7277.2064953647214</v>
      </c>
    </row>
    <row r="48" spans="1:11">
      <c r="A48" t="s">
        <v>159</v>
      </c>
      <c r="B48">
        <v>12481.447</v>
      </c>
      <c r="C48">
        <f t="shared" si="0"/>
        <v>11986.627570478537</v>
      </c>
      <c r="E48" t="s">
        <v>159</v>
      </c>
      <c r="F48">
        <v>13583.325999999999</v>
      </c>
      <c r="G48">
        <f t="shared" si="1"/>
        <v>8967.1698659540198</v>
      </c>
      <c r="I48" t="s">
        <v>159</v>
      </c>
      <c r="J48">
        <v>10963.811</v>
      </c>
      <c r="K48">
        <f t="shared" si="2"/>
        <v>10227.680360570072</v>
      </c>
    </row>
    <row r="50" spans="1:11">
      <c r="A50" s="1" t="s">
        <v>30</v>
      </c>
      <c r="B50" s="1" t="s">
        <v>419</v>
      </c>
      <c r="C50" s="1" t="s">
        <v>420</v>
      </c>
      <c r="E50" s="1" t="s">
        <v>30</v>
      </c>
      <c r="F50" s="1" t="s">
        <v>419</v>
      </c>
      <c r="G50" s="1" t="s">
        <v>420</v>
      </c>
      <c r="I50" s="1" t="s">
        <v>30</v>
      </c>
      <c r="J50" s="1" t="s">
        <v>419</v>
      </c>
      <c r="K50" s="1" t="s">
        <v>420</v>
      </c>
    </row>
    <row r="51" spans="1:11">
      <c r="A51" t="s">
        <v>127</v>
      </c>
      <c r="B51">
        <v>17803.276000000002</v>
      </c>
      <c r="C51">
        <f>B51/C61</f>
        <v>15952.667013018128</v>
      </c>
      <c r="E51" t="s">
        <v>127</v>
      </c>
      <c r="F51">
        <v>13978.468000000001</v>
      </c>
      <c r="G51">
        <f>F51/G61</f>
        <v>11672.051369847353</v>
      </c>
      <c r="I51" t="s">
        <v>127</v>
      </c>
      <c r="J51">
        <v>16560.740000000002</v>
      </c>
      <c r="K51">
        <f>J51/K61</f>
        <v>16560.740000000002</v>
      </c>
    </row>
    <row r="52" spans="1:11">
      <c r="A52" t="s">
        <v>128</v>
      </c>
      <c r="B52">
        <v>6437.5479999999998</v>
      </c>
      <c r="C52">
        <f t="shared" ref="C52:C58" si="3">B52/C62</f>
        <v>5826.3109438808606</v>
      </c>
      <c r="E52" t="s">
        <v>128</v>
      </c>
      <c r="F52">
        <v>4353.2550000000001</v>
      </c>
      <c r="G52">
        <f t="shared" ref="G52:G58" si="4">F52/G62</f>
        <v>3837.9781378093744</v>
      </c>
      <c r="I52" t="s">
        <v>128</v>
      </c>
      <c r="J52">
        <v>6365.9620000000004</v>
      </c>
      <c r="K52">
        <f t="shared" ref="K52:K58" si="5">J52/K62</f>
        <v>6223.5338949214047</v>
      </c>
    </row>
    <row r="53" spans="1:11">
      <c r="A53" t="s">
        <v>158</v>
      </c>
      <c r="B53">
        <v>5727.7190000000001</v>
      </c>
      <c r="C53">
        <f t="shared" si="3"/>
        <v>5559.9193954750217</v>
      </c>
      <c r="E53" t="s">
        <v>158</v>
      </c>
      <c r="F53">
        <v>8168.4470000000001</v>
      </c>
      <c r="G53">
        <f t="shared" si="4"/>
        <v>8168.4470000000001</v>
      </c>
      <c r="I53" t="s">
        <v>158</v>
      </c>
      <c r="J53">
        <v>5644.0829999999996</v>
      </c>
      <c r="K53">
        <f t="shared" si="5"/>
        <v>5440.4474604278494</v>
      </c>
    </row>
    <row r="54" spans="1:11">
      <c r="A54" t="s">
        <v>421</v>
      </c>
      <c r="B54">
        <v>5303.134</v>
      </c>
      <c r="C54">
        <f t="shared" si="3"/>
        <v>5016.5083655677672</v>
      </c>
      <c r="E54" t="s">
        <v>421</v>
      </c>
      <c r="F54">
        <v>6980.0330000000004</v>
      </c>
      <c r="G54">
        <f t="shared" si="4"/>
        <v>5298.4728091715997</v>
      </c>
      <c r="I54" t="s">
        <v>421</v>
      </c>
      <c r="J54">
        <v>6144.0829999999996</v>
      </c>
      <c r="K54">
        <f t="shared" si="5"/>
        <v>5786.8337382354139</v>
      </c>
    </row>
    <row r="55" spans="1:11">
      <c r="A55" t="s">
        <v>107</v>
      </c>
      <c r="B55">
        <v>4757.0330000000004</v>
      </c>
      <c r="C55">
        <f t="shared" si="3"/>
        <v>4607.3516740128798</v>
      </c>
      <c r="E55" t="s">
        <v>107</v>
      </c>
      <c r="F55">
        <v>7839.0330000000004</v>
      </c>
      <c r="G55">
        <f t="shared" si="4"/>
        <v>5833.0169377396951</v>
      </c>
      <c r="I55" t="s">
        <v>107</v>
      </c>
      <c r="J55">
        <v>5881.79</v>
      </c>
      <c r="K55">
        <f t="shared" si="5"/>
        <v>5441.9575633489558</v>
      </c>
    </row>
    <row r="56" spans="1:11">
      <c r="A56" t="s">
        <v>189</v>
      </c>
      <c r="B56">
        <v>6799.3760000000002</v>
      </c>
      <c r="C56">
        <f t="shared" si="3"/>
        <v>6799.3760000000002</v>
      </c>
      <c r="E56" t="s">
        <v>189</v>
      </c>
      <c r="F56">
        <v>5840.5479999999998</v>
      </c>
      <c r="G56">
        <f t="shared" si="4"/>
        <v>4160.7150731522925</v>
      </c>
      <c r="I56" t="s">
        <v>189</v>
      </c>
      <c r="J56">
        <v>4982.79</v>
      </c>
      <c r="K56">
        <f t="shared" si="5"/>
        <v>4692.6921665992495</v>
      </c>
    </row>
    <row r="57" spans="1:11">
      <c r="A57" t="s">
        <v>422</v>
      </c>
      <c r="B57">
        <v>16252.861000000001</v>
      </c>
      <c r="C57">
        <f t="shared" si="3"/>
        <v>14752.197383329163</v>
      </c>
      <c r="E57" t="s">
        <v>422</v>
      </c>
      <c r="F57">
        <v>17420.224999999999</v>
      </c>
      <c r="G57">
        <f t="shared" si="4"/>
        <v>11043.625330489078</v>
      </c>
      <c r="I57" t="s">
        <v>422</v>
      </c>
      <c r="J57">
        <v>14809.69</v>
      </c>
      <c r="K57">
        <f t="shared" si="5"/>
        <v>13331.692095633794</v>
      </c>
    </row>
    <row r="58" spans="1:11">
      <c r="A58" t="s">
        <v>159</v>
      </c>
      <c r="B58">
        <v>16016.154</v>
      </c>
      <c r="C58">
        <f t="shared" si="3"/>
        <v>15381.203245860044</v>
      </c>
      <c r="E58" t="s">
        <v>159</v>
      </c>
      <c r="F58">
        <v>23004.861000000001</v>
      </c>
      <c r="G58">
        <f t="shared" si="4"/>
        <v>15186.891364431722</v>
      </c>
      <c r="I58" t="s">
        <v>159</v>
      </c>
      <c r="J58">
        <v>13517.933000000001</v>
      </c>
      <c r="K58">
        <f t="shared" si="5"/>
        <v>12610.313864367243</v>
      </c>
    </row>
    <row r="60" spans="1:11">
      <c r="A60" s="1" t="s">
        <v>7</v>
      </c>
      <c r="B60" s="1" t="s">
        <v>423</v>
      </c>
      <c r="C60" s="1" t="s">
        <v>424</v>
      </c>
      <c r="E60" s="1" t="s">
        <v>7</v>
      </c>
      <c r="F60" s="1" t="s">
        <v>423</v>
      </c>
      <c r="G60" s="1" t="s">
        <v>424</v>
      </c>
      <c r="I60" s="1" t="s">
        <v>7</v>
      </c>
      <c r="J60" s="1" t="s">
        <v>423</v>
      </c>
      <c r="K60" s="1" t="s">
        <v>424</v>
      </c>
    </row>
    <row r="61" spans="1:11">
      <c r="A61" t="s">
        <v>127</v>
      </c>
      <c r="B61">
        <v>18262.689999999999</v>
      </c>
      <c r="C61">
        <f>B61/16364.326</f>
        <v>1.1160062443146146</v>
      </c>
      <c r="E61" t="s">
        <v>127</v>
      </c>
      <c r="F61">
        <v>13770.619000000001</v>
      </c>
      <c r="G61">
        <f>F61/11498.497</f>
        <v>1.1976016517637045</v>
      </c>
      <c r="I61" t="s">
        <v>127</v>
      </c>
      <c r="J61">
        <v>14758.619000000001</v>
      </c>
      <c r="K61">
        <f>J61/14758.619</f>
        <v>1</v>
      </c>
    </row>
    <row r="62" spans="1:11">
      <c r="A62" t="s">
        <v>128</v>
      </c>
      <c r="B62">
        <v>18081.103999999999</v>
      </c>
      <c r="C62">
        <f t="shared" ref="C62:C68" si="6">B62/16364.326</f>
        <v>1.1049097897463054</v>
      </c>
      <c r="E62" t="s">
        <v>128</v>
      </c>
      <c r="F62">
        <v>13042.254999999999</v>
      </c>
      <c r="G62">
        <f t="shared" ref="G62:G68" si="7">F62/11498.497</f>
        <v>1.1342573729418723</v>
      </c>
      <c r="I62" t="s">
        <v>128</v>
      </c>
      <c r="J62">
        <v>15096.376</v>
      </c>
      <c r="K62">
        <f t="shared" ref="K62:K68" si="8">J62/14758.619</f>
        <v>1.0228854068256656</v>
      </c>
    </row>
    <row r="63" spans="1:11">
      <c r="A63" t="s">
        <v>158</v>
      </c>
      <c r="B63">
        <v>16858.205000000002</v>
      </c>
      <c r="C63">
        <f t="shared" si="6"/>
        <v>1.0301802225157335</v>
      </c>
      <c r="E63" t="s">
        <v>158</v>
      </c>
      <c r="F63">
        <v>11498.496999999999</v>
      </c>
      <c r="G63">
        <f t="shared" si="7"/>
        <v>1</v>
      </c>
      <c r="I63" t="s">
        <v>158</v>
      </c>
      <c r="J63">
        <v>15311.032999999999</v>
      </c>
      <c r="K63">
        <f t="shared" si="8"/>
        <v>1.0374299248459493</v>
      </c>
    </row>
    <row r="64" spans="1:11">
      <c r="A64" t="s">
        <v>421</v>
      </c>
      <c r="B64">
        <v>17299.326000000001</v>
      </c>
      <c r="C64">
        <f t="shared" si="6"/>
        <v>1.0571364809036439</v>
      </c>
      <c r="E64" t="s">
        <v>421</v>
      </c>
      <c r="F64">
        <v>15147.74</v>
      </c>
      <c r="G64">
        <f t="shared" si="7"/>
        <v>1.3173669567422595</v>
      </c>
      <c r="I64" t="s">
        <v>421</v>
      </c>
      <c r="J64">
        <v>15669.74</v>
      </c>
      <c r="K64">
        <f t="shared" si="8"/>
        <v>1.0617348411799234</v>
      </c>
    </row>
    <row r="65" spans="1:11">
      <c r="A65" t="s">
        <v>107</v>
      </c>
      <c r="B65">
        <v>16895.962</v>
      </c>
      <c r="C65">
        <f t="shared" si="6"/>
        <v>1.0324874974991332</v>
      </c>
      <c r="E65" t="s">
        <v>107</v>
      </c>
      <c r="F65">
        <v>15452.912</v>
      </c>
      <c r="G65">
        <f t="shared" si="7"/>
        <v>1.3439071210785203</v>
      </c>
      <c r="I65" t="s">
        <v>107</v>
      </c>
      <c r="J65">
        <v>15951.447</v>
      </c>
      <c r="K65">
        <f t="shared" si="8"/>
        <v>1.0808224671969646</v>
      </c>
    </row>
    <row r="66" spans="1:11">
      <c r="A66" t="s">
        <v>189</v>
      </c>
      <c r="B66">
        <v>16364.325999999999</v>
      </c>
      <c r="C66">
        <f t="shared" si="6"/>
        <v>1</v>
      </c>
      <c r="E66" t="s">
        <v>189</v>
      </c>
      <c r="F66">
        <v>16140.861000000001</v>
      </c>
      <c r="G66">
        <f t="shared" si="7"/>
        <v>1.4037365927042467</v>
      </c>
      <c r="I66" t="s">
        <v>189</v>
      </c>
      <c r="J66">
        <v>15670.983</v>
      </c>
      <c r="K66">
        <f t="shared" si="8"/>
        <v>1.0618190631521824</v>
      </c>
    </row>
    <row r="67" spans="1:11">
      <c r="A67" t="s">
        <v>422</v>
      </c>
      <c r="B67">
        <v>18028.983</v>
      </c>
      <c r="C67">
        <f t="shared" si="6"/>
        <v>1.10172475175574</v>
      </c>
      <c r="E67" t="s">
        <v>422</v>
      </c>
      <c r="F67">
        <v>18137.740000000002</v>
      </c>
      <c r="G67">
        <f t="shared" si="7"/>
        <v>1.5774009420535573</v>
      </c>
      <c r="I67" t="s">
        <v>422</v>
      </c>
      <c r="J67">
        <v>16394.811000000002</v>
      </c>
      <c r="K67">
        <f t="shared" si="8"/>
        <v>1.1108634893278295</v>
      </c>
    </row>
    <row r="68" spans="1:11">
      <c r="A68" t="s">
        <v>159</v>
      </c>
      <c r="B68">
        <v>17039.861000000001</v>
      </c>
      <c r="C68">
        <f t="shared" si="6"/>
        <v>1.0412809546815434</v>
      </c>
      <c r="E68" t="s">
        <v>159</v>
      </c>
      <c r="F68">
        <v>17417.740000000002</v>
      </c>
      <c r="G68">
        <f t="shared" si="7"/>
        <v>1.5147840626474922</v>
      </c>
      <c r="I68" t="s">
        <v>159</v>
      </c>
      <c r="J68">
        <v>15820.861000000001</v>
      </c>
      <c r="K68">
        <f t="shared" si="8"/>
        <v>1.0719743493615495</v>
      </c>
    </row>
    <row r="71" spans="1:11">
      <c r="A71" t="s">
        <v>425</v>
      </c>
      <c r="B71">
        <f>AVERAGE(C41,G41,K41)</f>
        <v>12667.439354873486</v>
      </c>
    </row>
    <row r="72" spans="1:11">
      <c r="A72" t="s">
        <v>426</v>
      </c>
      <c r="B72">
        <f>AVERAGE(C51,G51,K51)</f>
        <v>14728.486127621829</v>
      </c>
    </row>
    <row r="74" spans="1:11">
      <c r="B74" s="1" t="s">
        <v>427</v>
      </c>
      <c r="C74" s="1" t="s">
        <v>428</v>
      </c>
      <c r="D74" s="1" t="s">
        <v>429</v>
      </c>
      <c r="E74" s="1" t="s">
        <v>171</v>
      </c>
      <c r="F74" s="1" t="s">
        <v>172</v>
      </c>
      <c r="G74" s="1" t="s">
        <v>430</v>
      </c>
    </row>
    <row r="75" spans="1:11">
      <c r="A75" s="1" t="s">
        <v>127</v>
      </c>
      <c r="B75">
        <f t="shared" ref="B75:B82" si="9">C41/12667.44</f>
        <v>0.69515216961629134</v>
      </c>
      <c r="C75">
        <f t="shared" ref="C75:C82" si="10">G41/12667.44</f>
        <v>1.2411731703593036</v>
      </c>
      <c r="D75">
        <f t="shared" ref="D75:D82" si="11">K41/12667.44</f>
        <v>1.0636745072406104</v>
      </c>
      <c r="E75">
        <f t="shared" ref="E75:E82" si="12">C51/14728.44</f>
        <v>1.0831199375506251</v>
      </c>
      <c r="F75">
        <f t="shared" ref="F75:F82" si="13">G51/14728.44</f>
        <v>0.79248388626679767</v>
      </c>
      <c r="G75">
        <f t="shared" ref="G75:G82" si="14">K51/14728.44</f>
        <v>1.1244055718052965</v>
      </c>
    </row>
    <row r="76" spans="1:11">
      <c r="A76" s="1" t="s">
        <v>128</v>
      </c>
      <c r="B76">
        <f t="shared" si="9"/>
        <v>0.33045219596605019</v>
      </c>
      <c r="C76">
        <f t="shared" si="10"/>
        <v>0.30523079881399706</v>
      </c>
      <c r="D76">
        <f t="shared" si="11"/>
        <v>0.51447328294685379</v>
      </c>
      <c r="E76">
        <f t="shared" si="12"/>
        <v>0.395582352501749</v>
      </c>
      <c r="F76">
        <f t="shared" si="13"/>
        <v>0.26058280020215135</v>
      </c>
      <c r="G76">
        <f t="shared" si="14"/>
        <v>0.42255214367043653</v>
      </c>
    </row>
    <row r="77" spans="1:11">
      <c r="A77" s="1" t="s">
        <v>158</v>
      </c>
      <c r="B77">
        <f t="shared" si="9"/>
        <v>0.34804056301500108</v>
      </c>
      <c r="C77">
        <f t="shared" si="10"/>
        <v>0.38212914369438494</v>
      </c>
      <c r="D77">
        <f t="shared" si="11"/>
        <v>0.64594129037093029</v>
      </c>
      <c r="E77">
        <f t="shared" si="12"/>
        <v>0.37749547103936476</v>
      </c>
      <c r="F77">
        <f t="shared" si="13"/>
        <v>0.55460367832574253</v>
      </c>
      <c r="G77">
        <f t="shared" si="14"/>
        <v>0.36938382207673381</v>
      </c>
    </row>
    <row r="78" spans="1:11">
      <c r="A78" s="1" t="s">
        <v>421</v>
      </c>
      <c r="B78">
        <f t="shared" si="9"/>
        <v>0.49088518177236268</v>
      </c>
      <c r="C78">
        <f t="shared" si="10"/>
        <v>0.26935107415821913</v>
      </c>
      <c r="D78">
        <f t="shared" si="11"/>
        <v>0.66531313566044081</v>
      </c>
      <c r="E78">
        <f t="shared" si="12"/>
        <v>0.34060011552939529</v>
      </c>
      <c r="F78">
        <f t="shared" si="13"/>
        <v>0.35974433199793049</v>
      </c>
      <c r="G78">
        <f t="shared" si="14"/>
        <v>0.39290201394278101</v>
      </c>
    </row>
    <row r="79" spans="1:11">
      <c r="A79" s="1" t="s">
        <v>107</v>
      </c>
      <c r="B79">
        <f t="shared" si="9"/>
        <v>0.35753991142354796</v>
      </c>
      <c r="C79">
        <f t="shared" si="10"/>
        <v>0.23091604068601715</v>
      </c>
      <c r="D79">
        <f t="shared" si="11"/>
        <v>0.39962717062735287</v>
      </c>
      <c r="E79">
        <f t="shared" si="12"/>
        <v>0.3128200728667041</v>
      </c>
      <c r="F79">
        <f t="shared" si="13"/>
        <v>0.39603766167630072</v>
      </c>
      <c r="G79">
        <f t="shared" si="14"/>
        <v>0.36948635180297135</v>
      </c>
    </row>
    <row r="80" spans="1:11">
      <c r="A80" s="1" t="s">
        <v>189</v>
      </c>
      <c r="B80">
        <f t="shared" si="9"/>
        <v>0.44412777956714222</v>
      </c>
      <c r="C80">
        <f t="shared" si="10"/>
        <v>0.27875716737377543</v>
      </c>
      <c r="D80">
        <f t="shared" si="11"/>
        <v>0.29792701228075702</v>
      </c>
      <c r="E80">
        <f t="shared" si="12"/>
        <v>0.46164943469912634</v>
      </c>
      <c r="F80">
        <f t="shared" si="13"/>
        <v>0.28249529978411103</v>
      </c>
      <c r="G80">
        <f t="shared" si="14"/>
        <v>0.31861433842275555</v>
      </c>
    </row>
    <row r="81" spans="1:7">
      <c r="A81" s="1" t="s">
        <v>422</v>
      </c>
      <c r="B81">
        <f t="shared" si="9"/>
        <v>0.81433324642570148</v>
      </c>
      <c r="C81">
        <f t="shared" si="10"/>
        <v>1.0604680450189075</v>
      </c>
      <c r="D81">
        <f t="shared" si="11"/>
        <v>0.57448122867483253</v>
      </c>
      <c r="E81">
        <f t="shared" si="12"/>
        <v>1.0016130278107636</v>
      </c>
      <c r="F81">
        <f t="shared" si="13"/>
        <v>0.74981636415595121</v>
      </c>
      <c r="G81">
        <f t="shared" si="14"/>
        <v>0.90516660933770265</v>
      </c>
    </row>
    <row r="82" spans="1:7">
      <c r="A82" s="1" t="s">
        <v>159</v>
      </c>
      <c r="B82">
        <f t="shared" si="9"/>
        <v>0.94625493157879859</v>
      </c>
      <c r="C82">
        <f t="shared" si="10"/>
        <v>0.707891244478286</v>
      </c>
      <c r="D82">
        <f t="shared" si="11"/>
        <v>0.80739915567550125</v>
      </c>
      <c r="E82">
        <f t="shared" si="12"/>
        <v>1.044319917510615</v>
      </c>
      <c r="F82">
        <f t="shared" si="13"/>
        <v>1.0311269465355273</v>
      </c>
      <c r="G82">
        <f t="shared" si="14"/>
        <v>0.85618801885109641</v>
      </c>
    </row>
    <row r="85" spans="1:7">
      <c r="B85" s="1" t="s">
        <v>431</v>
      </c>
      <c r="C85" s="1" t="s">
        <v>432</v>
      </c>
      <c r="D85" s="1" t="s">
        <v>32</v>
      </c>
      <c r="E85" s="1" t="s">
        <v>433</v>
      </c>
      <c r="F85" s="1" t="s">
        <v>434</v>
      </c>
      <c r="G85" s="1" t="s">
        <v>32</v>
      </c>
    </row>
    <row r="86" spans="1:7">
      <c r="A86" s="1" t="s">
        <v>127</v>
      </c>
      <c r="B86">
        <f t="shared" ref="B86:B93" si="15">AVERAGE(B75:D75)</f>
        <v>0.99999994907206846</v>
      </c>
      <c r="C86">
        <f t="shared" ref="C86:C93" si="16">STDEV(B75:D75)</f>
        <v>0.27852391339267385</v>
      </c>
      <c r="D86">
        <f>C86/SQRT(3)</f>
        <v>0.16080585637300826</v>
      </c>
      <c r="E86">
        <f t="shared" ref="E86:E93" si="17">AVERAGE(E75:G75)</f>
        <v>1.0000031318742397</v>
      </c>
      <c r="F86">
        <f>STDEV(E75:G75)</f>
        <v>0.18089860107824107</v>
      </c>
      <c r="G86">
        <f>F86/SQRT(3)</f>
        <v>0.10444185602854922</v>
      </c>
    </row>
    <row r="87" spans="1:7">
      <c r="A87" s="1" t="s">
        <v>128</v>
      </c>
      <c r="B87">
        <f t="shared" si="15"/>
        <v>0.38338542590896701</v>
      </c>
      <c r="C87">
        <f t="shared" si="16"/>
        <v>0.11422368150109889</v>
      </c>
      <c r="D87">
        <f t="shared" ref="D87:D93" si="18">C87/SQRT(3)</f>
        <v>6.5947073262489525E-2</v>
      </c>
      <c r="E87">
        <f t="shared" si="17"/>
        <v>0.35957243212477891</v>
      </c>
      <c r="F87">
        <f t="shared" ref="F87:F93" si="19">STDEV(E76:G76)</f>
        <v>8.678163878409792E-2</v>
      </c>
      <c r="G87">
        <f t="shared" ref="G87:G93" si="20">F87/SQRT(3)</f>
        <v>5.0103402512715806E-2</v>
      </c>
    </row>
    <row r="88" spans="1:7">
      <c r="A88" s="1" t="s">
        <v>158</v>
      </c>
      <c r="B88">
        <f t="shared" si="15"/>
        <v>0.45870366569343873</v>
      </c>
      <c r="C88">
        <f t="shared" si="16"/>
        <v>0.16304586441960311</v>
      </c>
      <c r="D88">
        <f t="shared" si="18"/>
        <v>9.4134573712913089E-2</v>
      </c>
      <c r="E88">
        <f t="shared" si="17"/>
        <v>0.43382765714728039</v>
      </c>
      <c r="F88">
        <f t="shared" si="19"/>
        <v>0.10467370816493728</v>
      </c>
      <c r="G88">
        <f t="shared" si="20"/>
        <v>6.043339358610287E-2</v>
      </c>
    </row>
    <row r="89" spans="1:7">
      <c r="A89" s="1" t="s">
        <v>421</v>
      </c>
      <c r="B89">
        <f t="shared" si="15"/>
        <v>0.47518313053034084</v>
      </c>
      <c r="C89">
        <f t="shared" si="16"/>
        <v>0.19844748511174862</v>
      </c>
      <c r="D89">
        <f t="shared" si="18"/>
        <v>0.11457370894927232</v>
      </c>
      <c r="E89">
        <f t="shared" si="17"/>
        <v>0.36441548715670224</v>
      </c>
      <c r="F89">
        <f t="shared" si="19"/>
        <v>2.6461989953497831E-2</v>
      </c>
      <c r="G89">
        <f t="shared" si="20"/>
        <v>1.5277837022945146E-2</v>
      </c>
    </row>
    <row r="90" spans="1:7">
      <c r="A90" s="1" t="s">
        <v>107</v>
      </c>
      <c r="B90">
        <f t="shared" si="15"/>
        <v>0.329361040912306</v>
      </c>
      <c r="C90">
        <f t="shared" si="16"/>
        <v>8.781456541478519E-2</v>
      </c>
      <c r="D90">
        <f t="shared" si="18"/>
        <v>5.0699762980996231E-2</v>
      </c>
      <c r="E90">
        <f t="shared" si="17"/>
        <v>0.35944802878199206</v>
      </c>
      <c r="F90">
        <f t="shared" si="19"/>
        <v>4.2507266656724906E-2</v>
      </c>
      <c r="G90">
        <f t="shared" si="20"/>
        <v>2.454158184677533E-2</v>
      </c>
    </row>
    <row r="91" spans="1:7">
      <c r="A91" s="1" t="s">
        <v>189</v>
      </c>
      <c r="B91">
        <f t="shared" si="15"/>
        <v>0.34027065307389154</v>
      </c>
      <c r="C91">
        <f t="shared" si="16"/>
        <v>9.0452185053848957E-2</v>
      </c>
      <c r="D91">
        <f t="shared" si="18"/>
        <v>5.2222593389629542E-2</v>
      </c>
      <c r="E91">
        <f t="shared" si="17"/>
        <v>0.35425302430199768</v>
      </c>
      <c r="F91">
        <f t="shared" si="19"/>
        <v>9.4745121049509995E-2</v>
      </c>
      <c r="G91">
        <f t="shared" si="20"/>
        <v>5.4701121142338278E-2</v>
      </c>
    </row>
    <row r="92" spans="1:7">
      <c r="A92" s="1" t="s">
        <v>422</v>
      </c>
      <c r="B92">
        <f t="shared" si="15"/>
        <v>0.81642750670648045</v>
      </c>
      <c r="C92">
        <f t="shared" si="16"/>
        <v>0.24300017666589271</v>
      </c>
      <c r="D92">
        <f t="shared" si="18"/>
        <v>0.14029621741117979</v>
      </c>
      <c r="E92">
        <f t="shared" si="17"/>
        <v>0.88553200043480584</v>
      </c>
      <c r="F92">
        <f t="shared" si="19"/>
        <v>0.12704144346236365</v>
      </c>
      <c r="G92">
        <f t="shared" si="20"/>
        <v>7.3347411581234284E-2</v>
      </c>
    </row>
    <row r="93" spans="1:7">
      <c r="A93" s="1" t="s">
        <v>159</v>
      </c>
      <c r="B93">
        <f t="shared" si="15"/>
        <v>0.82051511057752868</v>
      </c>
      <c r="C93">
        <f t="shared" si="16"/>
        <v>0.11972189873528417</v>
      </c>
      <c r="D93">
        <f t="shared" si="18"/>
        <v>6.9121470462709445E-2</v>
      </c>
      <c r="E93">
        <f t="shared" si="17"/>
        <v>0.97721162763241287</v>
      </c>
      <c r="F93">
        <f t="shared" si="19"/>
        <v>0.10501689879551404</v>
      </c>
      <c r="G93">
        <f t="shared" si="20"/>
        <v>6.0631534789049722E-2</v>
      </c>
    </row>
    <row r="105" spans="1:11" ht="19">
      <c r="A105" s="2" t="s">
        <v>182</v>
      </c>
    </row>
    <row r="107" spans="1:11">
      <c r="A107" s="1" t="s">
        <v>175</v>
      </c>
      <c r="B107" t="s">
        <v>165</v>
      </c>
      <c r="F107" s="1" t="s">
        <v>28</v>
      </c>
      <c r="G107" s="1"/>
      <c r="H107" s="1"/>
      <c r="I107" s="1" t="s">
        <v>30</v>
      </c>
    </row>
    <row r="108" spans="1:11">
      <c r="B108" t="s">
        <v>166</v>
      </c>
      <c r="C108">
        <v>30324.953000000001</v>
      </c>
      <c r="F108" s="1" t="s">
        <v>176</v>
      </c>
      <c r="G108" s="1" t="s">
        <v>177</v>
      </c>
      <c r="H108" s="1" t="s">
        <v>178</v>
      </c>
      <c r="I108" s="1" t="s">
        <v>176</v>
      </c>
      <c r="J108" s="1" t="s">
        <v>177</v>
      </c>
      <c r="K108" s="1" t="s">
        <v>178</v>
      </c>
    </row>
    <row r="109" spans="1:11">
      <c r="B109" t="s">
        <v>167</v>
      </c>
      <c r="C109">
        <v>27384.945</v>
      </c>
      <c r="E109" t="s">
        <v>166</v>
      </c>
      <c r="F109">
        <v>20790.976339170702</v>
      </c>
      <c r="G109">
        <v>17205.2862962943</v>
      </c>
      <c r="H109">
        <v>19243</v>
      </c>
      <c r="I109">
        <v>14371.355308046705</v>
      </c>
      <c r="J109">
        <v>11651.050841341043</v>
      </c>
      <c r="K109">
        <v>13265</v>
      </c>
    </row>
    <row r="110" spans="1:11">
      <c r="B110" t="s">
        <v>168</v>
      </c>
      <c r="C110">
        <v>42105.974000000002</v>
      </c>
      <c r="E110" t="s">
        <v>167</v>
      </c>
      <c r="F110">
        <v>23474.930797380821</v>
      </c>
      <c r="G110">
        <v>18895.814926223629</v>
      </c>
      <c r="H110">
        <v>21258</v>
      </c>
      <c r="I110">
        <v>18965.492543729753</v>
      </c>
      <c r="J110">
        <v>18311.082750238973</v>
      </c>
      <c r="K110">
        <v>16589</v>
      </c>
    </row>
    <row r="111" spans="1:11">
      <c r="B111" t="s">
        <v>169</v>
      </c>
      <c r="C111">
        <v>41882.874000000003</v>
      </c>
      <c r="E111" t="s">
        <v>168</v>
      </c>
      <c r="F111">
        <v>33049.888889568268</v>
      </c>
      <c r="G111">
        <v>27859.613950554151</v>
      </c>
      <c r="H111">
        <v>25633</v>
      </c>
      <c r="I111">
        <v>28464.655492941409</v>
      </c>
      <c r="J111">
        <v>24913.648973171454</v>
      </c>
      <c r="K111">
        <v>21156</v>
      </c>
    </row>
    <row r="112" spans="1:11">
      <c r="E112" t="s">
        <v>169</v>
      </c>
      <c r="F112">
        <v>41882.87950432174</v>
      </c>
      <c r="G112">
        <v>37620.703571562335</v>
      </c>
      <c r="H112">
        <v>29563</v>
      </c>
      <c r="I112">
        <v>29391.190862642034</v>
      </c>
      <c r="J112">
        <v>26754.531117640276</v>
      </c>
      <c r="K112">
        <v>27896</v>
      </c>
    </row>
    <row r="113" spans="2:11">
      <c r="B113" t="s">
        <v>170</v>
      </c>
    </row>
    <row r="114" spans="2:11">
      <c r="B114" t="s">
        <v>166</v>
      </c>
      <c r="C114">
        <v>22088.238000000001</v>
      </c>
      <c r="E114" s="1" t="s">
        <v>28</v>
      </c>
      <c r="F114" s="1" t="s">
        <v>179</v>
      </c>
      <c r="G114" s="1" t="s">
        <v>179</v>
      </c>
      <c r="H114" s="1" t="s">
        <v>179</v>
      </c>
      <c r="I114" s="1" t="s">
        <v>180</v>
      </c>
      <c r="J114" s="1" t="s">
        <v>181</v>
      </c>
      <c r="K114" s="1" t="s">
        <v>32</v>
      </c>
    </row>
    <row r="115" spans="2:11">
      <c r="B115" t="s">
        <v>167</v>
      </c>
      <c r="C115">
        <v>24448.359</v>
      </c>
      <c r="E115" t="s">
        <v>166</v>
      </c>
      <c r="F115">
        <v>1.089687849662591</v>
      </c>
      <c r="G115">
        <v>0.9017561812003857</v>
      </c>
      <c r="H115">
        <v>1.0085559691370238</v>
      </c>
      <c r="I115">
        <v>1.0000000000000002</v>
      </c>
      <c r="J115">
        <v>9.4257527331520527E-2</v>
      </c>
      <c r="K115">
        <v>5.4419608778001886E-2</v>
      </c>
    </row>
    <row r="116" spans="2:11">
      <c r="B116" t="s">
        <v>168</v>
      </c>
      <c r="C116">
        <v>32790.815000000002</v>
      </c>
      <c r="E116" t="s">
        <v>167</v>
      </c>
      <c r="F116">
        <v>1.1290920773037549</v>
      </c>
      <c r="G116">
        <v>1.098256113452527</v>
      </c>
      <c r="H116">
        <v>1.1047134022761524</v>
      </c>
      <c r="I116">
        <v>1.1106871976774781</v>
      </c>
      <c r="J116">
        <v>1.6262805424687134E-2</v>
      </c>
      <c r="K116">
        <v>9.3893350897216229E-3</v>
      </c>
    </row>
    <row r="117" spans="2:11">
      <c r="B117" t="s">
        <v>169</v>
      </c>
      <c r="C117">
        <v>37620.701999999997</v>
      </c>
      <c r="E117" t="s">
        <v>168</v>
      </c>
      <c r="F117">
        <v>1.5896263134093858</v>
      </c>
      <c r="G117">
        <v>1.6192469845352302</v>
      </c>
      <c r="H117">
        <v>1.3320688042405031</v>
      </c>
      <c r="I117">
        <v>1.5136473673950397</v>
      </c>
      <c r="J117">
        <v>0.15794754505036121</v>
      </c>
      <c r="K117">
        <v>9.1191057652666593E-2</v>
      </c>
    </row>
    <row r="118" spans="2:11">
      <c r="E118" t="s">
        <v>169</v>
      </c>
      <c r="F118">
        <v>2.014473560376747</v>
      </c>
      <c r="G118">
        <v>2.1865777078771895</v>
      </c>
      <c r="H118">
        <v>1.5362989138907654</v>
      </c>
      <c r="I118">
        <v>1.9124500607149004</v>
      </c>
      <c r="J118">
        <v>0.33693059127889874</v>
      </c>
      <c r="K118">
        <v>0.19452696757309199</v>
      </c>
    </row>
    <row r="119" spans="2:11">
      <c r="B119" t="s">
        <v>171</v>
      </c>
      <c r="E119" s="1" t="s">
        <v>30</v>
      </c>
      <c r="F119" s="1" t="s">
        <v>179</v>
      </c>
      <c r="G119" s="1" t="s">
        <v>179</v>
      </c>
      <c r="H119" s="1" t="s">
        <v>179</v>
      </c>
      <c r="I119" s="1" t="s">
        <v>180</v>
      </c>
      <c r="J119" s="1" t="s">
        <v>181</v>
      </c>
      <c r="K119" s="1" t="s">
        <v>32</v>
      </c>
    </row>
    <row r="120" spans="2:11">
      <c r="B120" t="s">
        <v>166</v>
      </c>
      <c r="C120">
        <v>20961.53</v>
      </c>
      <c r="E120" t="s">
        <v>166</v>
      </c>
      <c r="F120">
        <v>1.0974018622800215</v>
      </c>
      <c r="G120">
        <v>0.88967843440958505</v>
      </c>
      <c r="H120">
        <v>1.0129201728798547</v>
      </c>
      <c r="I120">
        <v>1.0000001565231538</v>
      </c>
      <c r="J120">
        <v>0.10446267629423518</v>
      </c>
      <c r="K120">
        <v>6.0311554278745426E-2</v>
      </c>
    </row>
    <row r="121" spans="2:11">
      <c r="B121" t="s">
        <v>167</v>
      </c>
      <c r="C121">
        <v>22124.409</v>
      </c>
      <c r="E121" t="s">
        <v>167</v>
      </c>
      <c r="F121">
        <v>1.3196727758353943</v>
      </c>
      <c r="G121">
        <v>1.5715832958761013</v>
      </c>
      <c r="H121">
        <v>1.2175412844036697</v>
      </c>
      <c r="I121">
        <v>1.3695991187050549</v>
      </c>
      <c r="J121">
        <v>0.18222490569654978</v>
      </c>
      <c r="K121">
        <v>0.1052075983569572</v>
      </c>
    </row>
    <row r="122" spans="2:11">
      <c r="B122" t="s">
        <v>168</v>
      </c>
      <c r="C122">
        <v>36264.328999999998</v>
      </c>
      <c r="E122" t="s">
        <v>168</v>
      </c>
      <c r="F122">
        <v>1.9806514827365962</v>
      </c>
      <c r="G122">
        <v>2.138261024736293</v>
      </c>
      <c r="H122">
        <v>1.5527339449541284</v>
      </c>
      <c r="I122">
        <v>1.8905488174756726</v>
      </c>
      <c r="J122">
        <v>0.30298408869922294</v>
      </c>
      <c r="K122">
        <v>0.17492794517066981</v>
      </c>
    </row>
    <row r="123" spans="2:11">
      <c r="B123" t="s">
        <v>169</v>
      </c>
      <c r="C123">
        <v>29391.187000000002</v>
      </c>
      <c r="E123" t="s">
        <v>169</v>
      </c>
      <c r="F123">
        <v>2.0451224423187528</v>
      </c>
      <c r="G123">
        <v>2.2962582151474398</v>
      </c>
      <c r="H123">
        <v>2.0474128440366974</v>
      </c>
      <c r="I123">
        <v>2.1295978338342967</v>
      </c>
      <c r="J123">
        <v>0.14433666723874802</v>
      </c>
      <c r="K123">
        <v>8.3332813684224613E-2</v>
      </c>
    </row>
    <row r="125" spans="2:11">
      <c r="B125" t="s">
        <v>172</v>
      </c>
    </row>
    <row r="126" spans="2:11">
      <c r="B126" t="s">
        <v>166</v>
      </c>
      <c r="C126">
        <v>14957.681</v>
      </c>
    </row>
    <row r="127" spans="2:11">
      <c r="B127" t="s">
        <v>167</v>
      </c>
      <c r="C127">
        <v>23691.803</v>
      </c>
    </row>
    <row r="128" spans="2:11">
      <c r="B128" t="s">
        <v>168</v>
      </c>
      <c r="C128">
        <v>29323.409</v>
      </c>
    </row>
    <row r="129" spans="2:3">
      <c r="B129" t="s">
        <v>169</v>
      </c>
      <c r="C129">
        <v>26754.53</v>
      </c>
    </row>
    <row r="132" spans="2:3">
      <c r="B132" t="s">
        <v>173</v>
      </c>
    </row>
    <row r="133" spans="2:3">
      <c r="B133" t="s">
        <v>166</v>
      </c>
      <c r="C133">
        <v>33295.016000000003</v>
      </c>
    </row>
    <row r="134" spans="2:3">
      <c r="B134" t="s">
        <v>167</v>
      </c>
      <c r="C134">
        <v>26629.409</v>
      </c>
    </row>
    <row r="135" spans="2:3">
      <c r="B135" t="s">
        <v>168</v>
      </c>
      <c r="C135">
        <v>29082.228999999999</v>
      </c>
    </row>
    <row r="136" spans="2:3">
      <c r="B136" t="s">
        <v>169</v>
      </c>
      <c r="C136">
        <v>22827.267</v>
      </c>
    </row>
    <row r="137" spans="2:3">
      <c r="B137" t="s">
        <v>174</v>
      </c>
    </row>
    <row r="138" spans="2:3">
      <c r="B138" t="s">
        <v>166</v>
      </c>
      <c r="C138">
        <v>30732.258000000002</v>
      </c>
    </row>
    <row r="139" spans="2:3">
      <c r="B139" t="s">
        <v>167</v>
      </c>
      <c r="C139">
        <v>30972.723000000002</v>
      </c>
    </row>
    <row r="140" spans="2:3">
      <c r="B140" t="s">
        <v>168</v>
      </c>
      <c r="C140">
        <v>28175.550999999999</v>
      </c>
    </row>
    <row r="141" spans="2:3">
      <c r="B141" t="s">
        <v>169</v>
      </c>
      <c r="C141">
        <v>23938.409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8"/>
  <sheetViews>
    <sheetView topLeftCell="A9" workbookViewId="0">
      <selection activeCell="I20" sqref="I20"/>
    </sheetView>
  </sheetViews>
  <sheetFormatPr baseColWidth="10" defaultRowHeight="16"/>
  <sheetData>
    <row r="1" spans="1:33" ht="16" customHeight="1"/>
    <row r="3" spans="1:33">
      <c r="A3" s="1" t="s">
        <v>437</v>
      </c>
      <c r="B3" s="63" t="s">
        <v>440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 t="s">
        <v>435</v>
      </c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spans="1:33">
      <c r="B4" s="18" t="s">
        <v>254</v>
      </c>
      <c r="C4" s="18" t="s">
        <v>255</v>
      </c>
      <c r="D4" s="50" t="s">
        <v>256</v>
      </c>
      <c r="E4" s="50" t="s">
        <v>257</v>
      </c>
      <c r="F4" s="50" t="s">
        <v>258</v>
      </c>
      <c r="G4" s="51" t="s">
        <v>259</v>
      </c>
      <c r="H4" s="51" t="s">
        <v>260</v>
      </c>
      <c r="I4" s="51" t="s">
        <v>261</v>
      </c>
      <c r="J4" s="18" t="s">
        <v>262</v>
      </c>
      <c r="K4" s="18" t="s">
        <v>263</v>
      </c>
      <c r="L4" s="50" t="s">
        <v>264</v>
      </c>
      <c r="M4" s="50" t="s">
        <v>265</v>
      </c>
      <c r="N4" s="50" t="s">
        <v>266</v>
      </c>
      <c r="O4" s="51" t="s">
        <v>267</v>
      </c>
      <c r="P4" s="51" t="s">
        <v>268</v>
      </c>
      <c r="Q4" s="51" t="s">
        <v>269</v>
      </c>
      <c r="R4" s="18" t="s">
        <v>254</v>
      </c>
      <c r="S4" s="18" t="s">
        <v>255</v>
      </c>
      <c r="T4" s="50" t="s">
        <v>256</v>
      </c>
      <c r="U4" s="50" t="s">
        <v>257</v>
      </c>
      <c r="V4" s="50" t="s">
        <v>258</v>
      </c>
      <c r="W4" s="51" t="s">
        <v>259</v>
      </c>
      <c r="X4" s="51" t="s">
        <v>260</v>
      </c>
      <c r="Y4" s="51" t="s">
        <v>261</v>
      </c>
      <c r="Z4" s="18" t="s">
        <v>262</v>
      </c>
      <c r="AA4" s="18" t="s">
        <v>263</v>
      </c>
      <c r="AB4" s="50" t="s">
        <v>264</v>
      </c>
      <c r="AC4" s="50" t="s">
        <v>265</v>
      </c>
      <c r="AD4" s="50" t="s">
        <v>266</v>
      </c>
      <c r="AE4" s="51" t="s">
        <v>267</v>
      </c>
      <c r="AF4" s="51" t="s">
        <v>268</v>
      </c>
      <c r="AG4" s="51" t="s">
        <v>269</v>
      </c>
    </row>
    <row r="5" spans="1:33">
      <c r="A5" t="s">
        <v>270</v>
      </c>
      <c r="B5" s="18">
        <v>0.96847000000000005</v>
      </c>
      <c r="C5" s="18">
        <v>0.94657800000000003</v>
      </c>
      <c r="D5" s="50">
        <v>0.94856757999999997</v>
      </c>
      <c r="E5" s="50">
        <v>0.98237640000000004</v>
      </c>
      <c r="F5" s="50">
        <v>0.93847590000000003</v>
      </c>
      <c r="G5" s="51">
        <v>0.95369999999999999</v>
      </c>
      <c r="H5" s="51">
        <v>0.93469999999999998</v>
      </c>
      <c r="I5" s="51">
        <v>0.92230000000000001</v>
      </c>
      <c r="J5" s="18">
        <v>0.81028387000000002</v>
      </c>
      <c r="K5" s="18">
        <v>0.82894095000000001</v>
      </c>
      <c r="L5" s="50">
        <v>0.77838569999999996</v>
      </c>
      <c r="M5" s="50">
        <v>0.83728950000000002</v>
      </c>
      <c r="N5" s="50">
        <v>0.75648389999999999</v>
      </c>
      <c r="O5" s="51">
        <v>0.81620000000000004</v>
      </c>
      <c r="P5" s="51">
        <v>0.75326000000000004</v>
      </c>
      <c r="Q5" s="51">
        <v>0.7157</v>
      </c>
      <c r="R5">
        <f>B5/0.9493*100</f>
        <v>102.01938270304436</v>
      </c>
      <c r="S5">
        <f t="shared" ref="S5" si="0">C5/0.9493*100</f>
        <v>99.713262403876541</v>
      </c>
      <c r="T5">
        <f t="shared" ref="T5:AG12" si="1">D5/0.9493*100</f>
        <v>99.922846307805742</v>
      </c>
      <c r="U5">
        <f t="shared" si="1"/>
        <v>103.48429369008743</v>
      </c>
      <c r="V5">
        <f t="shared" si="1"/>
        <v>98.859780891182979</v>
      </c>
      <c r="W5">
        <f t="shared" si="1"/>
        <v>100.46349942062571</v>
      </c>
      <c r="X5">
        <f t="shared" si="1"/>
        <v>98.462024649741906</v>
      </c>
      <c r="Y5">
        <f t="shared" si="1"/>
        <v>97.155799009796695</v>
      </c>
      <c r="Z5">
        <f t="shared" si="1"/>
        <v>85.355932792584014</v>
      </c>
      <c r="AA5">
        <f t="shared" si="1"/>
        <v>87.321284104076696</v>
      </c>
      <c r="AB5">
        <f t="shared" si="1"/>
        <v>81.995754766670174</v>
      </c>
      <c r="AC5">
        <f t="shared" si="1"/>
        <v>88.200726851364166</v>
      </c>
      <c r="AD5">
        <f t="shared" si="1"/>
        <v>79.688602127883698</v>
      </c>
      <c r="AE5">
        <f t="shared" si="1"/>
        <v>85.97914252607184</v>
      </c>
      <c r="AF5">
        <f t="shared" si="1"/>
        <v>79.348993995575682</v>
      </c>
      <c r="AG5">
        <f t="shared" si="1"/>
        <v>75.392394395870639</v>
      </c>
    </row>
    <row r="6" spans="1:33">
      <c r="A6" t="s">
        <v>271</v>
      </c>
      <c r="B6" s="18">
        <v>1.1293850000000001</v>
      </c>
      <c r="C6" s="18">
        <v>0.93848699999999996</v>
      </c>
      <c r="D6" s="50">
        <v>1.1182783999999999</v>
      </c>
      <c r="E6" s="50">
        <v>1.0586967</v>
      </c>
      <c r="F6" s="50">
        <v>1.0284859</v>
      </c>
      <c r="G6" s="51">
        <v>1.0364</v>
      </c>
      <c r="H6" s="51">
        <v>1.0446</v>
      </c>
      <c r="I6" s="51">
        <v>1.0947</v>
      </c>
      <c r="J6" s="18">
        <v>1.1293839999999999</v>
      </c>
      <c r="K6" s="18">
        <v>1.383874</v>
      </c>
      <c r="L6" s="50">
        <v>1.2837400000000001</v>
      </c>
      <c r="M6" s="50">
        <v>1.18938459</v>
      </c>
      <c r="N6" s="50">
        <v>1.14563879</v>
      </c>
      <c r="O6" s="51">
        <v>1.1536299999999999</v>
      </c>
      <c r="P6" s="51">
        <v>1.083634</v>
      </c>
      <c r="Q6" s="51">
        <v>1.11673</v>
      </c>
      <c r="R6">
        <f t="shared" ref="R6:R12" si="2">B6/0.9493*100</f>
        <v>118.97029390076898</v>
      </c>
      <c r="S6">
        <f t="shared" ref="S6:S12" si="3">C6/0.9493*100</f>
        <v>98.860950173812284</v>
      </c>
      <c r="T6">
        <f t="shared" si="1"/>
        <v>117.80031602233223</v>
      </c>
      <c r="U6">
        <f t="shared" si="1"/>
        <v>111.52393342462868</v>
      </c>
      <c r="V6">
        <f t="shared" si="1"/>
        <v>108.34150426630147</v>
      </c>
      <c r="W6">
        <f t="shared" si="1"/>
        <v>109.17518171284104</v>
      </c>
      <c r="X6">
        <f t="shared" si="1"/>
        <v>110.03897608764352</v>
      </c>
      <c r="Y6">
        <f t="shared" si="1"/>
        <v>115.31654903613189</v>
      </c>
      <c r="Z6">
        <f t="shared" si="1"/>
        <v>118.97018855999156</v>
      </c>
      <c r="AA6">
        <f t="shared" si="1"/>
        <v>145.77836300431898</v>
      </c>
      <c r="AB6">
        <f t="shared" si="1"/>
        <v>135.23016959865163</v>
      </c>
      <c r="AC6">
        <f t="shared" si="1"/>
        <v>125.29069735594649</v>
      </c>
      <c r="AD6">
        <f t="shared" si="1"/>
        <v>120.68248077530812</v>
      </c>
      <c r="AE6">
        <f t="shared" si="1"/>
        <v>121.52428104919413</v>
      </c>
      <c r="AF6">
        <f t="shared" si="1"/>
        <v>114.15084799325818</v>
      </c>
      <c r="AG6">
        <f t="shared" si="1"/>
        <v>117.63720636258294</v>
      </c>
    </row>
    <row r="7" spans="1:33">
      <c r="A7" t="s">
        <v>272</v>
      </c>
      <c r="B7" s="18">
        <v>1.0394859000000001</v>
      </c>
      <c r="C7" s="18">
        <v>0.97485485000000005</v>
      </c>
      <c r="D7" s="50">
        <v>0.98773893000000001</v>
      </c>
      <c r="E7" s="50">
        <v>1.028475</v>
      </c>
      <c r="F7" s="50">
        <v>1.0943847449999999</v>
      </c>
      <c r="G7" s="51">
        <v>0.99480000000000002</v>
      </c>
      <c r="H7" s="51">
        <v>0.9839</v>
      </c>
      <c r="I7" s="51">
        <v>1.0284</v>
      </c>
      <c r="J7" s="18">
        <v>1.18327648</v>
      </c>
      <c r="K7" s="18">
        <v>1.1763476479999999</v>
      </c>
      <c r="L7" s="50">
        <v>1.0384869999999999</v>
      </c>
      <c r="M7" s="50">
        <v>1.228192</v>
      </c>
      <c r="N7" s="50">
        <v>1.1847570000000001</v>
      </c>
      <c r="O7" s="51">
        <v>1.0892999999999999</v>
      </c>
      <c r="P7" s="51">
        <v>1.1129</v>
      </c>
      <c r="Q7" s="51">
        <v>1.08433</v>
      </c>
      <c r="R7">
        <f t="shared" si="2"/>
        <v>109.5002528178658</v>
      </c>
      <c r="S7">
        <f t="shared" si="3"/>
        <v>102.69196776572211</v>
      </c>
      <c r="T7">
        <f t="shared" si="1"/>
        <v>104.04918676919837</v>
      </c>
      <c r="U7">
        <f t="shared" si="1"/>
        <v>108.34035605182765</v>
      </c>
      <c r="V7">
        <f t="shared" si="1"/>
        <v>115.28333982934794</v>
      </c>
      <c r="W7">
        <f t="shared" si="1"/>
        <v>104.79300537237965</v>
      </c>
      <c r="X7">
        <f t="shared" si="1"/>
        <v>103.64479089855682</v>
      </c>
      <c r="Y7">
        <f t="shared" si="1"/>
        <v>108.33245549352154</v>
      </c>
      <c r="Z7">
        <f t="shared" si="1"/>
        <v>124.64726430001052</v>
      </c>
      <c r="AA7">
        <f t="shared" si="1"/>
        <v>123.91737575055302</v>
      </c>
      <c r="AB7">
        <f t="shared" si="1"/>
        <v>109.395027915306</v>
      </c>
      <c r="AC7">
        <f t="shared" si="1"/>
        <v>129.3787000948067</v>
      </c>
      <c r="AD7">
        <f t="shared" si="1"/>
        <v>124.80322342778889</v>
      </c>
      <c r="AE7">
        <f t="shared" si="1"/>
        <v>114.74770883809123</v>
      </c>
      <c r="AF7">
        <f t="shared" si="1"/>
        <v>117.23375118508375</v>
      </c>
      <c r="AG7">
        <f t="shared" si="1"/>
        <v>114.22416517433898</v>
      </c>
    </row>
    <row r="8" spans="1:33">
      <c r="A8" t="s">
        <v>273</v>
      </c>
      <c r="B8" s="18">
        <v>1.10393484</v>
      </c>
      <c r="C8" s="18">
        <v>0.99927363999999996</v>
      </c>
      <c r="D8" s="50">
        <v>0.97564363700000001</v>
      </c>
      <c r="E8" s="50">
        <v>0.99182029999999999</v>
      </c>
      <c r="F8" s="50">
        <v>1.0292834900000001</v>
      </c>
      <c r="G8" s="51">
        <v>1.0303</v>
      </c>
      <c r="H8" s="51">
        <v>0.98872000000000004</v>
      </c>
      <c r="I8" s="51">
        <v>1.02393</v>
      </c>
      <c r="J8" s="18">
        <v>0.91712636000000003</v>
      </c>
      <c r="K8" s="18">
        <v>0.82637470000000002</v>
      </c>
      <c r="L8" s="50">
        <v>0.86255470000000001</v>
      </c>
      <c r="M8" s="50">
        <v>0.78901872376000004</v>
      </c>
      <c r="N8" s="50">
        <v>0.83746779999999998</v>
      </c>
      <c r="O8" s="51">
        <v>0.79483999999999999</v>
      </c>
      <c r="P8" s="51">
        <v>0.74536000000000002</v>
      </c>
      <c r="Q8" s="51">
        <v>0.81262999999999996</v>
      </c>
      <c r="R8">
        <f t="shared" si="2"/>
        <v>116.28935426103443</v>
      </c>
      <c r="S8">
        <f t="shared" si="3"/>
        <v>105.26426208785421</v>
      </c>
      <c r="T8">
        <f t="shared" si="1"/>
        <v>102.77505920151691</v>
      </c>
      <c r="U8">
        <f t="shared" si="1"/>
        <v>104.47912145791636</v>
      </c>
      <c r="V8">
        <f t="shared" si="1"/>
        <v>108.42552301695987</v>
      </c>
      <c r="W8">
        <f t="shared" si="1"/>
        <v>108.53260297060991</v>
      </c>
      <c r="X8">
        <f t="shared" si="1"/>
        <v>104.15253344569683</v>
      </c>
      <c r="Y8">
        <f t="shared" si="1"/>
        <v>107.86158221847677</v>
      </c>
      <c r="Z8">
        <f t="shared" si="1"/>
        <v>96.61080375013168</v>
      </c>
      <c r="AA8">
        <f t="shared" si="1"/>
        <v>87.050953334035611</v>
      </c>
      <c r="AB8">
        <f t="shared" si="1"/>
        <v>90.862182660908033</v>
      </c>
      <c r="AC8">
        <f t="shared" si="1"/>
        <v>83.115845755820089</v>
      </c>
      <c r="AD8">
        <f t="shared" si="1"/>
        <v>88.219509111977246</v>
      </c>
      <c r="AE8">
        <f t="shared" si="1"/>
        <v>83.729063520488779</v>
      </c>
      <c r="AF8">
        <f t="shared" si="1"/>
        <v>78.516801853997691</v>
      </c>
      <c r="AG8">
        <f t="shared" si="1"/>
        <v>85.603075950700514</v>
      </c>
    </row>
    <row r="9" spans="1:33">
      <c r="A9" t="s">
        <v>274</v>
      </c>
      <c r="B9" s="18">
        <v>0.87364653999999997</v>
      </c>
      <c r="C9" s="18">
        <v>0.83762818999999999</v>
      </c>
      <c r="D9" s="50">
        <v>0.81672634779999997</v>
      </c>
      <c r="E9" s="50">
        <v>0.83646580000000004</v>
      </c>
      <c r="F9" s="50">
        <v>0.79484838999999996</v>
      </c>
      <c r="G9" s="51">
        <v>0.87339999999999995</v>
      </c>
      <c r="H9" s="51">
        <v>0.8821</v>
      </c>
      <c r="I9" s="51">
        <v>0.8034</v>
      </c>
      <c r="J9" s="18">
        <v>0.57576899999999998</v>
      </c>
      <c r="K9" s="18">
        <v>0.41827346999999998</v>
      </c>
      <c r="L9" s="50">
        <v>0.55834919999999999</v>
      </c>
      <c r="M9" s="50">
        <v>0.495867</v>
      </c>
      <c r="N9" s="50">
        <v>0.52727380000000001</v>
      </c>
      <c r="O9" s="51">
        <v>0.49281999999999998</v>
      </c>
      <c r="P9" s="51">
        <v>0.51632</v>
      </c>
      <c r="Q9" s="51">
        <v>0.44628000000000001</v>
      </c>
      <c r="R9">
        <f t="shared" si="2"/>
        <v>92.030605709470123</v>
      </c>
      <c r="S9">
        <f t="shared" si="3"/>
        <v>88.236404719266829</v>
      </c>
      <c r="T9">
        <f t="shared" si="1"/>
        <v>86.034588412514481</v>
      </c>
      <c r="U9">
        <f t="shared" si="1"/>
        <v>88.113957653007475</v>
      </c>
      <c r="V9">
        <f t="shared" si="1"/>
        <v>83.729947329611292</v>
      </c>
      <c r="W9">
        <f t="shared" si="1"/>
        <v>92.004634994206242</v>
      </c>
      <c r="X9">
        <f t="shared" si="1"/>
        <v>92.921099757716206</v>
      </c>
      <c r="Y9">
        <f t="shared" si="1"/>
        <v>84.630780575160642</v>
      </c>
      <c r="Z9">
        <f t="shared" si="1"/>
        <v>60.651954071421045</v>
      </c>
      <c r="AA9">
        <f t="shared" si="1"/>
        <v>44.061252501843462</v>
      </c>
      <c r="AB9">
        <f t="shared" si="1"/>
        <v>58.816938797008319</v>
      </c>
      <c r="AC9">
        <f t="shared" si="1"/>
        <v>52.235015274412724</v>
      </c>
      <c r="AD9">
        <f t="shared" si="1"/>
        <v>55.543432002528178</v>
      </c>
      <c r="AE9">
        <f t="shared" si="1"/>
        <v>51.914041925629405</v>
      </c>
      <c r="AF9">
        <f t="shared" si="1"/>
        <v>54.389550194880428</v>
      </c>
      <c r="AG9">
        <f t="shared" si="1"/>
        <v>47.011482144738224</v>
      </c>
    </row>
    <row r="10" spans="1:33">
      <c r="A10" t="s">
        <v>275</v>
      </c>
      <c r="B10" s="18">
        <v>1.10289438</v>
      </c>
      <c r="C10" s="18">
        <v>0.93747860000000005</v>
      </c>
      <c r="D10" s="50">
        <v>0.92766475000000004</v>
      </c>
      <c r="E10" s="50">
        <v>0.99378658900000005</v>
      </c>
      <c r="F10" s="50">
        <v>1.047547569</v>
      </c>
      <c r="G10" s="51">
        <v>0.95669999999999999</v>
      </c>
      <c r="H10" s="51">
        <v>0.98209999999999997</v>
      </c>
      <c r="I10" s="51">
        <v>0.99319999999999997</v>
      </c>
      <c r="J10" s="18">
        <v>1.1928384000000001</v>
      </c>
      <c r="K10" s="18">
        <v>1.1837546400000001</v>
      </c>
      <c r="L10" s="50">
        <v>1.1192837</v>
      </c>
      <c r="M10" s="50">
        <v>1.0834646800000001</v>
      </c>
      <c r="N10" s="50">
        <v>1.1736546800000001</v>
      </c>
      <c r="O10" s="51">
        <v>1.0843940000000001</v>
      </c>
      <c r="P10" s="51">
        <v>1.102384</v>
      </c>
      <c r="Q10" s="51">
        <v>0.99478299999999997</v>
      </c>
      <c r="R10">
        <f t="shared" si="2"/>
        <v>116.17975139576528</v>
      </c>
      <c r="S10">
        <f t="shared" si="3"/>
        <v>98.754724533867062</v>
      </c>
      <c r="T10">
        <f t="shared" si="1"/>
        <v>97.720925945433478</v>
      </c>
      <c r="U10">
        <f t="shared" si="1"/>
        <v>104.68625186979881</v>
      </c>
      <c r="V10">
        <f t="shared" si="1"/>
        <v>110.3494752975877</v>
      </c>
      <c r="W10">
        <f t="shared" si="1"/>
        <v>100.77952175287052</v>
      </c>
      <c r="X10">
        <f t="shared" si="1"/>
        <v>103.45517749920994</v>
      </c>
      <c r="Y10">
        <f t="shared" si="1"/>
        <v>104.62446012851574</v>
      </c>
      <c r="Z10">
        <f t="shared" si="1"/>
        <v>125.65452438638998</v>
      </c>
      <c r="AA10">
        <f t="shared" si="1"/>
        <v>124.69763404613927</v>
      </c>
      <c r="AB10">
        <f t="shared" si="1"/>
        <v>117.90621510586747</v>
      </c>
      <c r="AC10">
        <f t="shared" si="1"/>
        <v>114.1330116928263</v>
      </c>
      <c r="AD10">
        <f t="shared" si="1"/>
        <v>123.63369640787948</v>
      </c>
      <c r="AE10">
        <f t="shared" si="1"/>
        <v>114.23090698409355</v>
      </c>
      <c r="AF10">
        <f t="shared" si="1"/>
        <v>116.12598756978826</v>
      </c>
      <c r="AG10">
        <f t="shared" si="1"/>
        <v>104.79121457916358</v>
      </c>
    </row>
    <row r="11" spans="1:33">
      <c r="A11" t="s">
        <v>276</v>
      </c>
      <c r="B11" s="18">
        <v>0.93787586000000001</v>
      </c>
      <c r="C11" s="18">
        <v>0.947756869</v>
      </c>
      <c r="D11" s="50">
        <v>0.99836767449999997</v>
      </c>
      <c r="E11" s="50">
        <v>1.0384575680000001</v>
      </c>
      <c r="F11" s="50">
        <v>1.04865794</v>
      </c>
      <c r="G11" s="51">
        <v>0.95820000000000005</v>
      </c>
      <c r="H11" s="51">
        <v>0.96609999999999996</v>
      </c>
      <c r="I11" s="51">
        <v>0.95379999999999998</v>
      </c>
      <c r="J11" s="18">
        <v>1.1938467399999999</v>
      </c>
      <c r="K11" s="18">
        <v>1.1537484389999999</v>
      </c>
      <c r="L11" s="50">
        <v>1.1827373000000001</v>
      </c>
      <c r="M11" s="50">
        <v>1.2827379999999999</v>
      </c>
      <c r="N11" s="50">
        <v>1.1817823700000001</v>
      </c>
      <c r="O11" s="51">
        <v>1.1932830000000001</v>
      </c>
      <c r="P11" s="51">
        <v>1.203484</v>
      </c>
      <c r="Q11" s="51">
        <v>1.083464</v>
      </c>
      <c r="R11">
        <f t="shared" si="2"/>
        <v>98.796572211102912</v>
      </c>
      <c r="S11">
        <f t="shared" si="3"/>
        <v>99.837445380806912</v>
      </c>
      <c r="T11">
        <f t="shared" si="1"/>
        <v>105.16882697777309</v>
      </c>
      <c r="U11">
        <f t="shared" si="1"/>
        <v>109.39192752554514</v>
      </c>
      <c r="V11">
        <f t="shared" si="1"/>
        <v>110.4664426419467</v>
      </c>
      <c r="W11">
        <f t="shared" si="1"/>
        <v>100.93753291899294</v>
      </c>
      <c r="X11">
        <f t="shared" si="1"/>
        <v>101.76972506057093</v>
      </c>
      <c r="Y11">
        <f t="shared" si="1"/>
        <v>100.47403349836721</v>
      </c>
      <c r="Z11">
        <f t="shared" si="1"/>
        <v>125.76074370588854</v>
      </c>
      <c r="AA11">
        <f t="shared" si="1"/>
        <v>121.53675750553037</v>
      </c>
      <c r="AB11">
        <f t="shared" si="1"/>
        <v>124.59046665964395</v>
      </c>
      <c r="AC11">
        <f t="shared" si="1"/>
        <v>135.12461813968187</v>
      </c>
      <c r="AD11">
        <f t="shared" si="1"/>
        <v>124.48987359106711</v>
      </c>
      <c r="AE11">
        <f t="shared" si="1"/>
        <v>125.70135889602865</v>
      </c>
      <c r="AF11">
        <f t="shared" si="1"/>
        <v>126.77594016643843</v>
      </c>
      <c r="AG11">
        <f t="shared" si="1"/>
        <v>114.13294006109764</v>
      </c>
    </row>
    <row r="12" spans="1:33" s="1" customFormat="1">
      <c r="A12" t="s">
        <v>277</v>
      </c>
      <c r="B12" s="18">
        <v>0.91727674999999997</v>
      </c>
      <c r="C12" s="18">
        <v>0.95738389999999995</v>
      </c>
      <c r="D12" s="50">
        <v>0.94059599999999999</v>
      </c>
      <c r="E12" s="50">
        <v>1.028375</v>
      </c>
      <c r="F12" s="50">
        <v>0.94875989999999999</v>
      </c>
      <c r="G12" s="51">
        <v>0.95730000000000004</v>
      </c>
      <c r="H12" s="51">
        <v>0.99822999999999995</v>
      </c>
      <c r="I12" s="51">
        <v>1.0294300000000001</v>
      </c>
      <c r="J12" s="18">
        <v>0.61272742999999996</v>
      </c>
      <c r="K12" s="18">
        <v>0.55839309000000004</v>
      </c>
      <c r="L12" s="50">
        <v>0.58392301999999996</v>
      </c>
      <c r="M12" s="50">
        <v>0.46748392999999999</v>
      </c>
      <c r="N12" s="50">
        <v>0.51626348</v>
      </c>
      <c r="O12" s="51">
        <v>0.47382999999999997</v>
      </c>
      <c r="P12" s="51">
        <v>0.56327280000000002</v>
      </c>
      <c r="Q12" s="51">
        <v>0.53723721000000002</v>
      </c>
      <c r="R12">
        <f t="shared" si="2"/>
        <v>96.626645949647099</v>
      </c>
      <c r="S12">
        <f t="shared" si="3"/>
        <v>100.8515643105446</v>
      </c>
      <c r="T12">
        <f t="shared" si="1"/>
        <v>99.083113873380384</v>
      </c>
      <c r="U12">
        <f t="shared" si="1"/>
        <v>108.32982197408616</v>
      </c>
      <c r="V12">
        <f t="shared" si="1"/>
        <v>99.943105446118182</v>
      </c>
      <c r="W12">
        <f t="shared" si="1"/>
        <v>100.84272621931949</v>
      </c>
      <c r="X12">
        <f t="shared" si="1"/>
        <v>105.15432423891286</v>
      </c>
      <c r="Y12">
        <f t="shared" si="1"/>
        <v>108.44095649425893</v>
      </c>
      <c r="Z12">
        <f t="shared" si="1"/>
        <v>64.545183819656586</v>
      </c>
      <c r="AA12">
        <f t="shared" si="1"/>
        <v>58.821562203729059</v>
      </c>
      <c r="AB12">
        <f t="shared" si="1"/>
        <v>61.51090487727798</v>
      </c>
      <c r="AC12">
        <f t="shared" si="1"/>
        <v>49.245120615190139</v>
      </c>
      <c r="AD12">
        <f t="shared" si="1"/>
        <v>54.383596334140947</v>
      </c>
      <c r="AE12">
        <f t="shared" si="1"/>
        <v>49.913620562519746</v>
      </c>
      <c r="AF12">
        <f t="shared" si="1"/>
        <v>59.335594648688506</v>
      </c>
      <c r="AG12">
        <f t="shared" si="1"/>
        <v>56.592985357631939</v>
      </c>
    </row>
    <row r="13" spans="1:33">
      <c r="R13" s="55" t="s">
        <v>435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</row>
    <row r="14" spans="1:33">
      <c r="B14" s="18" t="s">
        <v>278</v>
      </c>
      <c r="C14" s="18" t="s">
        <v>279</v>
      </c>
      <c r="D14" s="50" t="s">
        <v>280</v>
      </c>
      <c r="E14" s="50" t="s">
        <v>281</v>
      </c>
      <c r="F14" s="50" t="s">
        <v>282</v>
      </c>
      <c r="G14" s="51" t="s">
        <v>283</v>
      </c>
      <c r="H14" s="51" t="s">
        <v>284</v>
      </c>
      <c r="I14" s="51" t="s">
        <v>285</v>
      </c>
      <c r="J14" s="18" t="s">
        <v>286</v>
      </c>
      <c r="K14" s="18" t="s">
        <v>287</v>
      </c>
      <c r="L14" s="50" t="s">
        <v>288</v>
      </c>
      <c r="M14" s="50" t="s">
        <v>289</v>
      </c>
      <c r="N14" s="50" t="s">
        <v>290</v>
      </c>
      <c r="O14" s="51" t="s">
        <v>291</v>
      </c>
      <c r="P14" s="51" t="s">
        <v>292</v>
      </c>
      <c r="Q14" s="51" t="s">
        <v>293</v>
      </c>
      <c r="R14" s="18" t="s">
        <v>278</v>
      </c>
      <c r="S14" s="18" t="s">
        <v>279</v>
      </c>
      <c r="T14" s="50" t="s">
        <v>280</v>
      </c>
      <c r="U14" s="50" t="s">
        <v>281</v>
      </c>
      <c r="V14" s="50" t="s">
        <v>282</v>
      </c>
      <c r="W14" s="51" t="s">
        <v>283</v>
      </c>
      <c r="X14" s="51" t="s">
        <v>284</v>
      </c>
      <c r="Y14" s="51" t="s">
        <v>285</v>
      </c>
      <c r="Z14" s="18" t="s">
        <v>286</v>
      </c>
      <c r="AA14" s="18" t="s">
        <v>287</v>
      </c>
      <c r="AB14" s="50" t="s">
        <v>288</v>
      </c>
      <c r="AC14" s="50" t="s">
        <v>289</v>
      </c>
      <c r="AD14" s="50" t="s">
        <v>290</v>
      </c>
      <c r="AE14" s="51" t="s">
        <v>291</v>
      </c>
      <c r="AF14" s="51" t="s">
        <v>292</v>
      </c>
      <c r="AG14" s="51" t="s">
        <v>293</v>
      </c>
    </row>
    <row r="15" spans="1:33">
      <c r="A15" t="s">
        <v>270</v>
      </c>
      <c r="B15" s="18">
        <v>0.9938747</v>
      </c>
      <c r="C15" s="18">
        <v>0.94675858999999996</v>
      </c>
      <c r="D15" s="50">
        <v>0.95476584900000006</v>
      </c>
      <c r="E15" s="50">
        <v>0.97388954000000005</v>
      </c>
      <c r="F15" s="50">
        <v>0.91827479999999995</v>
      </c>
      <c r="G15" s="51">
        <v>0.99480000000000002</v>
      </c>
      <c r="H15" s="51">
        <v>1.0284</v>
      </c>
      <c r="I15" s="51">
        <v>0.98450000000000004</v>
      </c>
      <c r="J15" s="18">
        <v>0.82737579999999999</v>
      </c>
      <c r="K15" s="18">
        <v>0.85648290000000005</v>
      </c>
      <c r="L15" s="50">
        <v>0.81626480000000001</v>
      </c>
      <c r="M15" s="50">
        <v>0.86748389999999997</v>
      </c>
      <c r="N15" s="50">
        <v>0.78594043000000002</v>
      </c>
      <c r="O15" s="51">
        <v>0.82738</v>
      </c>
      <c r="P15" s="51">
        <v>0.85636199999999996</v>
      </c>
      <c r="Q15" s="51">
        <v>0.79128299999999996</v>
      </c>
      <c r="R15">
        <f>B15/0.97440793*100</f>
        <v>101.99780496449777</v>
      </c>
      <c r="S15">
        <f t="shared" ref="S15" si="4">C15/0.97440793*100</f>
        <v>97.162447148803466</v>
      </c>
      <c r="T15">
        <f t="shared" ref="T15:AG22" si="5">D15/0.97440793*100</f>
        <v>97.984203494731418</v>
      </c>
      <c r="U15">
        <f t="shared" si="5"/>
        <v>99.946799488793161</v>
      </c>
      <c r="V15">
        <f t="shared" si="5"/>
        <v>94.239257679276065</v>
      </c>
      <c r="W15">
        <f t="shared" si="5"/>
        <v>102.09276519332104</v>
      </c>
      <c r="X15">
        <f t="shared" si="5"/>
        <v>105.54101299237169</v>
      </c>
      <c r="Y15">
        <f t="shared" si="5"/>
        <v>101.03571304063588</v>
      </c>
      <c r="Z15">
        <f t="shared" si="5"/>
        <v>84.910618492195553</v>
      </c>
      <c r="AA15">
        <f t="shared" si="5"/>
        <v>87.897776037188038</v>
      </c>
      <c r="AB15">
        <f t="shared" si="5"/>
        <v>83.770336310789261</v>
      </c>
      <c r="AC15">
        <f t="shared" si="5"/>
        <v>89.026769312109337</v>
      </c>
      <c r="AD15">
        <f t="shared" si="5"/>
        <v>80.658254700369696</v>
      </c>
      <c r="AE15">
        <f t="shared" si="5"/>
        <v>84.911049523170448</v>
      </c>
      <c r="AF15">
        <f t="shared" si="5"/>
        <v>87.885368502696807</v>
      </c>
      <c r="AG15">
        <f t="shared" si="5"/>
        <v>81.206543546910581</v>
      </c>
    </row>
    <row r="16" spans="1:33">
      <c r="A16" t="s">
        <v>271</v>
      </c>
      <c r="B16" s="18">
        <v>1.0398949</v>
      </c>
      <c r="C16" s="18">
        <v>1.129394</v>
      </c>
      <c r="D16" s="50">
        <v>0.99384757999999995</v>
      </c>
      <c r="E16" s="50">
        <v>1.0438859</v>
      </c>
      <c r="F16" s="50">
        <v>1.04958865</v>
      </c>
      <c r="G16" s="51">
        <v>1.0394000000000001</v>
      </c>
      <c r="H16" s="51">
        <v>1.0475000000000001</v>
      </c>
      <c r="I16" s="51">
        <v>0.98560000000000003</v>
      </c>
      <c r="J16" s="18">
        <v>0.9374768</v>
      </c>
      <c r="K16" s="18">
        <v>0.99385475899999998</v>
      </c>
      <c r="L16" s="50">
        <v>1.1293874699999999</v>
      </c>
      <c r="M16" s="50">
        <v>1.0874893999999999</v>
      </c>
      <c r="N16" s="50">
        <v>1.1847578000000001</v>
      </c>
      <c r="O16" s="51">
        <v>1.0283</v>
      </c>
      <c r="P16" s="51">
        <v>0.94747999999999999</v>
      </c>
      <c r="Q16" s="51">
        <v>1.03749</v>
      </c>
      <c r="R16">
        <f t="shared" ref="R16:R22" si="6">B16/0.97440793*100</f>
        <v>106.72069345741058</v>
      </c>
      <c r="S16">
        <f t="shared" ref="S16:S22" si="7">C16/0.97440793*100</f>
        <v>115.90566591550623</v>
      </c>
      <c r="T16">
        <f t="shared" si="5"/>
        <v>101.99502173591711</v>
      </c>
      <c r="U16">
        <f t="shared" si="5"/>
        <v>107.13027550997045</v>
      </c>
      <c r="V16">
        <f t="shared" si="5"/>
        <v>107.7155283414001</v>
      </c>
      <c r="W16">
        <f t="shared" si="5"/>
        <v>106.66990364087042</v>
      </c>
      <c r="X16">
        <f t="shared" si="5"/>
        <v>107.50117766385586</v>
      </c>
      <c r="Y16">
        <f t="shared" si="5"/>
        <v>101.14860210548574</v>
      </c>
      <c r="Z16">
        <f t="shared" si="5"/>
        <v>96.209890245864486</v>
      </c>
      <c r="AA16">
        <f t="shared" si="5"/>
        <v>101.99575849100488</v>
      </c>
      <c r="AB16">
        <f t="shared" si="5"/>
        <v>115.90499576496673</v>
      </c>
      <c r="AC16">
        <f t="shared" si="5"/>
        <v>111.60514672740808</v>
      </c>
      <c r="AD16">
        <f t="shared" si="5"/>
        <v>121.58745465053842</v>
      </c>
      <c r="AE16">
        <f t="shared" si="5"/>
        <v>105.53075035011261</v>
      </c>
      <c r="AF16">
        <f t="shared" si="5"/>
        <v>97.2364828763247</v>
      </c>
      <c r="AG16">
        <f t="shared" si="5"/>
        <v>106.47388717372199</v>
      </c>
    </row>
    <row r="17" spans="1:33">
      <c r="A17" t="s">
        <v>272</v>
      </c>
      <c r="B17" s="18">
        <v>1.1038399999999999</v>
      </c>
      <c r="C17" s="18">
        <v>0.94875900000000002</v>
      </c>
      <c r="D17" s="50">
        <v>0.99387873999999998</v>
      </c>
      <c r="E17" s="50">
        <v>1.128374</v>
      </c>
      <c r="F17" s="50">
        <v>1.038489</v>
      </c>
      <c r="G17" s="51">
        <v>0.98375999999999997</v>
      </c>
      <c r="H17" s="51">
        <v>0.95630000000000004</v>
      </c>
      <c r="I17" s="51">
        <v>0.93259999999999998</v>
      </c>
      <c r="J17" s="18">
        <v>0.81726747</v>
      </c>
      <c r="K17" s="18">
        <v>0.84757800000000005</v>
      </c>
      <c r="L17" s="50">
        <v>0.85743891999999999</v>
      </c>
      <c r="M17" s="50">
        <v>0.91828438999999995</v>
      </c>
      <c r="N17" s="50">
        <v>0.83874839000000001</v>
      </c>
      <c r="O17" s="51">
        <v>0.79384379999999999</v>
      </c>
      <c r="P17" s="51">
        <v>0.75940300000000005</v>
      </c>
      <c r="Q17" s="51">
        <v>0.82636299999999996</v>
      </c>
      <c r="R17">
        <f t="shared" si="6"/>
        <v>113.2831503126211</v>
      </c>
      <c r="S17">
        <f t="shared" si="7"/>
        <v>97.367742070818338</v>
      </c>
      <c r="T17">
        <f t="shared" si="5"/>
        <v>101.99821957524505</v>
      </c>
      <c r="U17">
        <f t="shared" si="5"/>
        <v>115.80098696446363</v>
      </c>
      <c r="V17">
        <f t="shared" si="5"/>
        <v>106.57641096989019</v>
      </c>
      <c r="W17">
        <f t="shared" si="5"/>
        <v>100.95976948791868</v>
      </c>
      <c r="X17">
        <f t="shared" si="5"/>
        <v>98.141647923575505</v>
      </c>
      <c r="Y17">
        <f t="shared" si="5"/>
        <v>95.709401708173687</v>
      </c>
      <c r="Z17">
        <f t="shared" si="5"/>
        <v>83.873236745928367</v>
      </c>
      <c r="AA17">
        <f t="shared" si="5"/>
        <v>86.983898006659288</v>
      </c>
      <c r="AB17">
        <f t="shared" si="5"/>
        <v>87.99588894971329</v>
      </c>
      <c r="AC17">
        <f t="shared" si="5"/>
        <v>94.240241866668711</v>
      </c>
      <c r="AD17">
        <f t="shared" si="5"/>
        <v>86.077746719487394</v>
      </c>
      <c r="AE17">
        <f t="shared" si="5"/>
        <v>81.469349289881094</v>
      </c>
      <c r="AF17">
        <f t="shared" si="5"/>
        <v>77.934813194716099</v>
      </c>
      <c r="AG17">
        <f t="shared" si="5"/>
        <v>84.806678451395598</v>
      </c>
    </row>
    <row r="18" spans="1:33">
      <c r="A18" t="s">
        <v>273</v>
      </c>
      <c r="B18" s="18">
        <v>1.0288390000000001</v>
      </c>
      <c r="C18" s="18">
        <v>1.0129838</v>
      </c>
      <c r="D18" s="50">
        <v>0.93288397999999995</v>
      </c>
      <c r="E18" s="50">
        <v>1.101982893</v>
      </c>
      <c r="F18" s="50">
        <v>0.93847884999999998</v>
      </c>
      <c r="G18" s="51">
        <v>1.0487500000000001</v>
      </c>
      <c r="H18" s="51">
        <v>0.95669999999999999</v>
      </c>
      <c r="I18" s="51">
        <v>0.99870000000000003</v>
      </c>
      <c r="J18" s="18">
        <v>0.92874000000000001</v>
      </c>
      <c r="K18" s="18">
        <v>1.028848</v>
      </c>
      <c r="L18" s="50">
        <v>1.1129293</v>
      </c>
      <c r="M18" s="50">
        <v>1.0948853999999999</v>
      </c>
      <c r="N18" s="50">
        <v>1.1903847999999999</v>
      </c>
      <c r="O18" s="51">
        <v>1.0289379999999999</v>
      </c>
      <c r="P18" s="51">
        <v>1.0273639999999999</v>
      </c>
      <c r="Q18" s="51">
        <v>0.93873742999999998</v>
      </c>
      <c r="R18">
        <f t="shared" si="6"/>
        <v>105.58606599188904</v>
      </c>
      <c r="S18">
        <f t="shared" si="7"/>
        <v>103.9589035364275</v>
      </c>
      <c r="T18">
        <f t="shared" si="5"/>
        <v>95.73854555966102</v>
      </c>
      <c r="U18">
        <f t="shared" si="5"/>
        <v>113.0925620648428</v>
      </c>
      <c r="V18">
        <f t="shared" si="5"/>
        <v>96.312727052621582</v>
      </c>
      <c r="W18">
        <f t="shared" si="5"/>
        <v>107.62946069209434</v>
      </c>
      <c r="X18">
        <f t="shared" si="5"/>
        <v>98.182698492611806</v>
      </c>
      <c r="Y18">
        <f t="shared" si="5"/>
        <v>102.49300824142513</v>
      </c>
      <c r="Z18">
        <f t="shared" si="5"/>
        <v>95.313263716973239</v>
      </c>
      <c r="AA18">
        <f t="shared" si="5"/>
        <v>105.58698962969235</v>
      </c>
      <c r="AB18">
        <f t="shared" si="5"/>
        <v>114.21595265547562</v>
      </c>
      <c r="AC18">
        <f t="shared" si="5"/>
        <v>112.36417174888959</v>
      </c>
      <c r="AD18">
        <f t="shared" si="5"/>
        <v>122.16493353045679</v>
      </c>
      <c r="AE18">
        <f t="shared" si="5"/>
        <v>105.59622600772552</v>
      </c>
      <c r="AF18">
        <f t="shared" si="5"/>
        <v>105.43469201856762</v>
      </c>
      <c r="AG18">
        <f t="shared" si="5"/>
        <v>96.339264192975108</v>
      </c>
    </row>
    <row r="19" spans="1:33">
      <c r="A19" t="s">
        <v>274</v>
      </c>
      <c r="B19" s="18">
        <v>0.81726469999999996</v>
      </c>
      <c r="C19" s="18">
        <v>0.82636829999999994</v>
      </c>
      <c r="D19" s="50">
        <v>0.78298400000000001</v>
      </c>
      <c r="E19" s="50">
        <v>0.81294390000000005</v>
      </c>
      <c r="F19" s="50">
        <v>0.83647950000000004</v>
      </c>
      <c r="G19" s="51">
        <v>0.81240000000000001</v>
      </c>
      <c r="H19" s="51">
        <v>0.82321</v>
      </c>
      <c r="I19" s="51">
        <v>0.80459999999999998</v>
      </c>
      <c r="J19" s="18">
        <v>0.56547380000000003</v>
      </c>
      <c r="K19" s="18">
        <v>0.49588599999999999</v>
      </c>
      <c r="L19" s="50">
        <v>0.45876790000000001</v>
      </c>
      <c r="M19" s="50">
        <v>0.51929843799999997</v>
      </c>
      <c r="N19" s="50">
        <v>0.57364627999999995</v>
      </c>
      <c r="O19" s="51">
        <v>0.42872900000000003</v>
      </c>
      <c r="P19" s="51">
        <v>0.52828900000000001</v>
      </c>
      <c r="Q19" s="51">
        <v>0.44783279999999998</v>
      </c>
      <c r="R19">
        <f t="shared" si="6"/>
        <v>83.872952470737786</v>
      </c>
      <c r="S19">
        <f t="shared" si="7"/>
        <v>84.80722237143533</v>
      </c>
      <c r="T19">
        <f t="shared" si="5"/>
        <v>80.354846865829586</v>
      </c>
      <c r="U19">
        <f t="shared" si="5"/>
        <v>83.429524224007494</v>
      </c>
      <c r="V19">
        <f t="shared" si="5"/>
        <v>85.844898655535374</v>
      </c>
      <c r="W19">
        <f t="shared" si="5"/>
        <v>83.373705712760355</v>
      </c>
      <c r="X19">
        <f t="shared" si="5"/>
        <v>84.483097340966836</v>
      </c>
      <c r="Y19">
        <f t="shared" si="5"/>
        <v>82.57321961655218</v>
      </c>
      <c r="Z19">
        <f t="shared" si="5"/>
        <v>58.032553162821657</v>
      </c>
      <c r="AA19">
        <f t="shared" si="5"/>
        <v>50.891006192858057</v>
      </c>
      <c r="AB19">
        <f t="shared" si="5"/>
        <v>47.081708376490738</v>
      </c>
      <c r="AC19">
        <f t="shared" si="5"/>
        <v>53.293740948926796</v>
      </c>
      <c r="AD19">
        <f t="shared" si="5"/>
        <v>58.871265548916455</v>
      </c>
      <c r="AE19">
        <f t="shared" si="5"/>
        <v>43.998923530928167</v>
      </c>
      <c r="AF19">
        <f t="shared" si="5"/>
        <v>54.216410164067533</v>
      </c>
      <c r="AG19">
        <f t="shared" si="5"/>
        <v>45.959478182818152</v>
      </c>
    </row>
    <row r="20" spans="1:33">
      <c r="A20" t="s">
        <v>275</v>
      </c>
      <c r="B20" s="18">
        <v>0.98489689999999996</v>
      </c>
      <c r="C20" s="18">
        <v>0.99288489999999996</v>
      </c>
      <c r="D20" s="50">
        <v>1.08947748</v>
      </c>
      <c r="E20" s="50">
        <v>1.03674585</v>
      </c>
      <c r="F20" s="50">
        <v>0.97748979999999996</v>
      </c>
      <c r="G20" s="51">
        <v>0.99850000000000005</v>
      </c>
      <c r="H20" s="51">
        <v>0.98370000000000002</v>
      </c>
      <c r="I20" s="51">
        <v>0.98719999999999997</v>
      </c>
      <c r="J20" s="18">
        <v>0.93874999999999997</v>
      </c>
      <c r="K20" s="18">
        <v>0.91778499000000002</v>
      </c>
      <c r="L20" s="50">
        <v>0.94878589999999996</v>
      </c>
      <c r="M20" s="50">
        <v>1.0293479999999999</v>
      </c>
      <c r="N20" s="50">
        <v>1.084376658</v>
      </c>
      <c r="O20" s="51">
        <v>0.93783744999999996</v>
      </c>
      <c r="P20" s="51">
        <v>0.91782732</v>
      </c>
      <c r="Q20" s="51">
        <v>0.99984740000000005</v>
      </c>
      <c r="R20">
        <f t="shared" si="6"/>
        <v>101.07644546776216</v>
      </c>
      <c r="S20">
        <f t="shared" si="7"/>
        <v>101.8962253314174</v>
      </c>
      <c r="T20">
        <f t="shared" si="5"/>
        <v>111.8091762656324</v>
      </c>
      <c r="U20">
        <f t="shared" si="5"/>
        <v>106.39751772135104</v>
      </c>
      <c r="V20">
        <f t="shared" si="5"/>
        <v>100.31628129298988</v>
      </c>
      <c r="W20">
        <f t="shared" si="5"/>
        <v>102.47248295690696</v>
      </c>
      <c r="X20">
        <f t="shared" si="5"/>
        <v>100.95361190256322</v>
      </c>
      <c r="Y20">
        <f t="shared" si="5"/>
        <v>101.312804381631</v>
      </c>
      <c r="Z20">
        <f t="shared" si="5"/>
        <v>96.340554207107076</v>
      </c>
      <c r="AA20">
        <f t="shared" si="5"/>
        <v>94.188990231226882</v>
      </c>
      <c r="AB20">
        <f t="shared" si="5"/>
        <v>97.370502721586021</v>
      </c>
      <c r="AC20">
        <f t="shared" si="5"/>
        <v>105.63830284098773</v>
      </c>
      <c r="AD20">
        <f t="shared" si="5"/>
        <v>111.28569715149999</v>
      </c>
      <c r="AE20">
        <f t="shared" si="5"/>
        <v>96.246902465171843</v>
      </c>
      <c r="AF20">
        <f t="shared" si="5"/>
        <v>94.193334407695133</v>
      </c>
      <c r="AG20">
        <f t="shared" si="5"/>
        <v>102.61076179870581</v>
      </c>
    </row>
    <row r="21" spans="1:33">
      <c r="A21" t="s">
        <v>276</v>
      </c>
      <c r="B21" s="18">
        <v>0.9377548</v>
      </c>
      <c r="C21" s="18">
        <v>0.92712767429999998</v>
      </c>
      <c r="D21" s="50">
        <v>0.91782737999999997</v>
      </c>
      <c r="E21" s="50">
        <v>0.95638727999999995</v>
      </c>
      <c r="F21" s="50">
        <v>0.92767854979999997</v>
      </c>
      <c r="G21" s="51">
        <v>0.97838999999999998</v>
      </c>
      <c r="H21" s="51">
        <v>0.9899</v>
      </c>
      <c r="I21" s="51">
        <v>0.91872299999999996</v>
      </c>
      <c r="J21" s="18">
        <v>0.61717284390000005</v>
      </c>
      <c r="K21" s="18">
        <v>0.636526178</v>
      </c>
      <c r="L21" s="50">
        <v>0.61828830000000001</v>
      </c>
      <c r="M21" s="50">
        <v>0.65487382900000002</v>
      </c>
      <c r="N21" s="50">
        <v>0.59382781269999996</v>
      </c>
      <c r="O21" s="51">
        <v>0.55943929999999997</v>
      </c>
      <c r="P21" s="51">
        <v>0.51929400000000003</v>
      </c>
      <c r="Q21" s="51">
        <v>0.53292189999999995</v>
      </c>
      <c r="R21">
        <f t="shared" si="6"/>
        <v>96.238420391344718</v>
      </c>
      <c r="S21">
        <f t="shared" si="7"/>
        <v>95.147796498331033</v>
      </c>
      <c r="T21">
        <f t="shared" si="5"/>
        <v>94.193340565280494</v>
      </c>
      <c r="U21">
        <f t="shared" si="5"/>
        <v>98.150605157739207</v>
      </c>
      <c r="V21">
        <f t="shared" si="5"/>
        <v>95.204330880188948</v>
      </c>
      <c r="W21">
        <f t="shared" si="5"/>
        <v>100.40866559860611</v>
      </c>
      <c r="X21">
        <f t="shared" si="5"/>
        <v>101.58989572262615</v>
      </c>
      <c r="Y21">
        <f t="shared" si="5"/>
        <v>94.285254841881255</v>
      </c>
      <c r="Z21">
        <f t="shared" si="5"/>
        <v>63.33824108964302</v>
      </c>
      <c r="AA21">
        <f t="shared" si="5"/>
        <v>65.324404533530426</v>
      </c>
      <c r="AB21">
        <f t="shared" si="5"/>
        <v>63.452716358743103</v>
      </c>
      <c r="AC21">
        <f t="shared" si="5"/>
        <v>67.207358318604818</v>
      </c>
      <c r="AD21">
        <f t="shared" si="5"/>
        <v>60.942424052316568</v>
      </c>
      <c r="AE21">
        <f t="shared" si="5"/>
        <v>57.413254015697511</v>
      </c>
      <c r="AF21">
        <f t="shared" si="5"/>
        <v>53.29328549286334</v>
      </c>
      <c r="AG21">
        <f t="shared" si="5"/>
        <v>54.691868117288408</v>
      </c>
    </row>
    <row r="22" spans="1:33">
      <c r="A22" t="s">
        <v>277</v>
      </c>
      <c r="B22" s="18">
        <v>0.93627218000000001</v>
      </c>
      <c r="C22" s="18">
        <v>0.98477838900000003</v>
      </c>
      <c r="D22" s="50">
        <v>0.92674599000000002</v>
      </c>
      <c r="E22" s="50">
        <v>0.94523672869999997</v>
      </c>
      <c r="F22" s="50">
        <v>0.91763760000000005</v>
      </c>
      <c r="G22" s="51">
        <v>0.98394000000000004</v>
      </c>
      <c r="H22" s="51">
        <v>0.92269999999999996</v>
      </c>
      <c r="I22" s="51">
        <v>0.93894</v>
      </c>
      <c r="J22" s="18">
        <v>0.92747685000000002</v>
      </c>
      <c r="K22" s="18">
        <v>0.95476388000000001</v>
      </c>
      <c r="L22" s="50">
        <v>0.89276480000000003</v>
      </c>
      <c r="M22" s="50">
        <v>0.89277640000000003</v>
      </c>
      <c r="N22" s="50">
        <v>0.91872739999999997</v>
      </c>
      <c r="O22" s="51">
        <v>0.93727839999999996</v>
      </c>
      <c r="P22" s="51">
        <v>0.91727400000000003</v>
      </c>
      <c r="Q22" s="51">
        <v>0.8783474</v>
      </c>
      <c r="R22">
        <f t="shared" si="6"/>
        <v>96.086264404683149</v>
      </c>
      <c r="S22">
        <f t="shared" si="7"/>
        <v>101.06428310779449</v>
      </c>
      <c r="T22">
        <f t="shared" si="5"/>
        <v>95.108625604062965</v>
      </c>
      <c r="U22">
        <f t="shared" si="5"/>
        <v>97.006263967905099</v>
      </c>
      <c r="V22">
        <f t="shared" si="5"/>
        <v>94.17386412280122</v>
      </c>
      <c r="W22">
        <f t="shared" si="5"/>
        <v>100.97824224398502</v>
      </c>
      <c r="X22">
        <f t="shared" si="5"/>
        <v>94.693400124524842</v>
      </c>
      <c r="Y22">
        <f t="shared" si="5"/>
        <v>96.36005322739932</v>
      </c>
      <c r="Z22">
        <f t="shared" si="5"/>
        <v>95.18363115127768</v>
      </c>
      <c r="AA22">
        <f t="shared" si="5"/>
        <v>97.98400142330533</v>
      </c>
      <c r="AB22">
        <f t="shared" si="5"/>
        <v>91.621257638984929</v>
      </c>
      <c r="AC22">
        <f t="shared" si="5"/>
        <v>91.622448105486981</v>
      </c>
      <c r="AD22">
        <f t="shared" si="5"/>
        <v>94.285706398140661</v>
      </c>
      <c r="AE22">
        <f t="shared" si="5"/>
        <v>96.189529163622453</v>
      </c>
      <c r="AF22">
        <f t="shared" si="5"/>
        <v>94.1365491555472</v>
      </c>
      <c r="AG22">
        <f t="shared" si="5"/>
        <v>90.141651453924425</v>
      </c>
    </row>
    <row r="24" spans="1:33">
      <c r="B24" s="1" t="s">
        <v>299</v>
      </c>
      <c r="C24" s="1" t="s">
        <v>300</v>
      </c>
      <c r="D24" s="1" t="s">
        <v>301</v>
      </c>
      <c r="E24" s="1" t="s">
        <v>302</v>
      </c>
      <c r="F24" s="1" t="s">
        <v>294</v>
      </c>
      <c r="G24" s="1" t="s">
        <v>295</v>
      </c>
      <c r="H24" s="1" t="s">
        <v>296</v>
      </c>
      <c r="I24" s="1" t="s">
        <v>297</v>
      </c>
    </row>
    <row r="25" spans="1:33">
      <c r="A25" t="s">
        <v>270</v>
      </c>
      <c r="B25">
        <f>AVERAGE(R5:Y5)</f>
        <v>100.01011113452017</v>
      </c>
      <c r="C25">
        <f t="shared" ref="C25:C32" si="8">AVERAGE(Z5:AG5)</f>
        <v>82.910353945012105</v>
      </c>
      <c r="D25">
        <f>AVERAGE(R15:Y15)</f>
        <v>100.00000050030381</v>
      </c>
      <c r="E25">
        <f>AVERAGE(Z15:AG15)</f>
        <v>85.033339553178706</v>
      </c>
      <c r="F25">
        <f>STDEV(R5:Y5)</f>
        <v>2.0098095524830275</v>
      </c>
      <c r="G25">
        <f t="shared" ref="G25:G32" si="9">STDEV(Z5:AG5)</f>
        <v>4.5239339156395157</v>
      </c>
      <c r="H25">
        <f>STDEV(R15:Y15)</f>
        <v>3.493883255652046</v>
      </c>
      <c r="I25">
        <f>STDEV(Z15:AG15)</f>
        <v>3.1098340420288126</v>
      </c>
    </row>
    <row r="26" spans="1:33">
      <c r="A26" t="s">
        <v>271</v>
      </c>
      <c r="B26">
        <f t="shared" ref="B26:B32" si="10">AVERAGE(R6:Y6)</f>
        <v>111.25346307805751</v>
      </c>
      <c r="C26">
        <f t="shared" si="8"/>
        <v>124.90802933740649</v>
      </c>
      <c r="D26">
        <f t="shared" ref="D26:D32" si="11">AVERAGE(R16:Y16)</f>
        <v>106.84835854630205</v>
      </c>
      <c r="E26">
        <f t="shared" ref="E26:E32" si="12">AVERAGE(Z16:AG16)</f>
        <v>107.06804578499273</v>
      </c>
      <c r="F26">
        <f t="shared" ref="F26:F32" si="13">STDEV(R6:Y6)</f>
        <v>6.4013469053397856</v>
      </c>
      <c r="G26">
        <f t="shared" si="9"/>
        <v>10.524859179120162</v>
      </c>
      <c r="H26">
        <f t="shared" ref="H26:H32" si="14">STDEV(R16:Y16)</f>
        <v>4.4622655427208624</v>
      </c>
      <c r="I26">
        <f t="shared" ref="I26:I32" si="15">STDEV(Z16:AG16)</f>
        <v>8.8841252866022202</v>
      </c>
    </row>
    <row r="27" spans="1:33">
      <c r="A27" t="s">
        <v>272</v>
      </c>
      <c r="B27">
        <f t="shared" si="10"/>
        <v>107.07941937480248</v>
      </c>
      <c r="C27">
        <f t="shared" si="8"/>
        <v>119.79340208574739</v>
      </c>
      <c r="D27">
        <f t="shared" si="11"/>
        <v>103.72966612658828</v>
      </c>
      <c r="E27">
        <f t="shared" si="12"/>
        <v>85.422731653056218</v>
      </c>
      <c r="F27">
        <f t="shared" si="13"/>
        <v>4.1710089431737174</v>
      </c>
      <c r="G27">
        <f t="shared" si="9"/>
        <v>6.8524948869665652</v>
      </c>
      <c r="H27">
        <f t="shared" si="14"/>
        <v>7.4812594822521516</v>
      </c>
      <c r="I27">
        <f t="shared" si="15"/>
        <v>4.8064617358016903</v>
      </c>
      <c r="L27" t="s">
        <v>298</v>
      </c>
    </row>
    <row r="28" spans="1:33">
      <c r="A28" t="s">
        <v>273</v>
      </c>
      <c r="B28">
        <f t="shared" si="10"/>
        <v>107.22250483250816</v>
      </c>
      <c r="C28">
        <f t="shared" si="8"/>
        <v>86.71352949225745</v>
      </c>
      <c r="D28">
        <f t="shared" si="11"/>
        <v>102.87424645394665</v>
      </c>
      <c r="E28">
        <f t="shared" si="12"/>
        <v>107.12693668759447</v>
      </c>
      <c r="F28">
        <f t="shared" si="13"/>
        <v>4.2484476541747878</v>
      </c>
      <c r="G28">
        <f t="shared" si="9"/>
        <v>5.4487089789519985</v>
      </c>
      <c r="H28">
        <f t="shared" si="14"/>
        <v>5.9962394348740906</v>
      </c>
      <c r="I28">
        <f t="shared" si="15"/>
        <v>9.0026906976309817</v>
      </c>
    </row>
    <row r="29" spans="1:33">
      <c r="A29" t="s">
        <v>274</v>
      </c>
      <c r="B29">
        <f t="shared" si="10"/>
        <v>88.462752393869152</v>
      </c>
      <c r="C29">
        <f t="shared" si="8"/>
        <v>53.077958364057721</v>
      </c>
      <c r="D29">
        <f t="shared" si="11"/>
        <v>83.592433407228114</v>
      </c>
      <c r="E29">
        <f t="shared" si="12"/>
        <v>51.543135763478446</v>
      </c>
      <c r="F29">
        <f t="shared" si="13"/>
        <v>3.5517338624954373</v>
      </c>
      <c r="G29">
        <f t="shared" si="9"/>
        <v>5.5840143474910766</v>
      </c>
      <c r="H29">
        <f t="shared" si="14"/>
        <v>1.64822110517025</v>
      </c>
      <c r="I29">
        <f t="shared" si="15"/>
        <v>5.5349153608879496</v>
      </c>
      <c r="Q29" s="1"/>
      <c r="R29" s="1"/>
      <c r="S29" s="1"/>
    </row>
    <row r="30" spans="1:33">
      <c r="A30" t="s">
        <v>275</v>
      </c>
      <c r="B30">
        <f t="shared" si="10"/>
        <v>104.56878605288107</v>
      </c>
      <c r="C30">
        <f t="shared" si="8"/>
        <v>117.64664884651847</v>
      </c>
      <c r="D30">
        <f t="shared" si="11"/>
        <v>103.27931816503175</v>
      </c>
      <c r="E30">
        <f t="shared" si="12"/>
        <v>99.734380727997561</v>
      </c>
      <c r="F30">
        <f t="shared" si="13"/>
        <v>6.147507386884107</v>
      </c>
      <c r="G30">
        <f t="shared" si="9"/>
        <v>6.9830623197613209</v>
      </c>
      <c r="H30">
        <f t="shared" si="14"/>
        <v>3.9270835822514734</v>
      </c>
      <c r="I30">
        <f t="shared" si="15"/>
        <v>6.1792950117798267</v>
      </c>
    </row>
    <row r="31" spans="1:33">
      <c r="A31" t="s">
        <v>276</v>
      </c>
      <c r="B31">
        <f t="shared" si="10"/>
        <v>103.35531327688824</v>
      </c>
      <c r="C31">
        <f t="shared" si="8"/>
        <v>124.76408734067206</v>
      </c>
      <c r="D31">
        <f t="shared" si="11"/>
        <v>96.902288706999741</v>
      </c>
      <c r="E31">
        <f t="shared" si="12"/>
        <v>60.707943997335889</v>
      </c>
      <c r="F31">
        <f t="shared" si="13"/>
        <v>4.4740001920461259</v>
      </c>
      <c r="G31">
        <f t="shared" si="9"/>
        <v>5.8162609463804564</v>
      </c>
      <c r="H31">
        <f t="shared" si="14"/>
        <v>2.8389113486452331</v>
      </c>
      <c r="I31">
        <f t="shared" si="15"/>
        <v>5.0721455760883689</v>
      </c>
    </row>
    <row r="32" spans="1:33">
      <c r="A32" t="s">
        <v>277</v>
      </c>
      <c r="B32">
        <f t="shared" si="10"/>
        <v>102.40903231328346</v>
      </c>
      <c r="C32">
        <f t="shared" si="8"/>
        <v>56.793571052354366</v>
      </c>
      <c r="D32">
        <f t="shared" si="11"/>
        <v>96.933874600394518</v>
      </c>
      <c r="E32">
        <f t="shared" si="12"/>
        <v>93.895596811286197</v>
      </c>
      <c r="F32">
        <f t="shared" si="13"/>
        <v>4.3823351487279885</v>
      </c>
      <c r="G32">
        <f t="shared" si="9"/>
        <v>5.386178163895865</v>
      </c>
      <c r="H32">
        <f t="shared" si="14"/>
        <v>2.684321034640393</v>
      </c>
      <c r="I32">
        <f t="shared" si="15"/>
        <v>2.626197233019389</v>
      </c>
    </row>
    <row r="38" spans="20:20">
      <c r="T38" s="1"/>
    </row>
  </sheetData>
  <mergeCells count="2">
    <mergeCell ref="B3:Q3"/>
    <mergeCell ref="R3:AG3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5"/>
  <sheetViews>
    <sheetView tabSelected="1" workbookViewId="0">
      <selection activeCell="A4" sqref="A4"/>
    </sheetView>
  </sheetViews>
  <sheetFormatPr baseColWidth="10" defaultRowHeight="16"/>
  <cols>
    <col min="1" max="1" width="17.1640625" bestFit="1" customWidth="1"/>
    <col min="2" max="2" width="15.6640625" customWidth="1"/>
    <col min="3" max="3" width="25.83203125" bestFit="1" customWidth="1"/>
    <col min="4" max="4" width="19.33203125" bestFit="1" customWidth="1"/>
    <col min="5" max="5" width="13.1640625" bestFit="1" customWidth="1"/>
    <col min="6" max="6" width="30.5" bestFit="1" customWidth="1"/>
    <col min="7" max="7" width="24.5" bestFit="1" customWidth="1"/>
    <col min="8" max="8" width="26" bestFit="1" customWidth="1"/>
    <col min="9" max="9" width="24" bestFit="1" customWidth="1"/>
    <col min="10" max="10" width="17.5" bestFit="1" customWidth="1"/>
    <col min="11" max="11" width="12.1640625" bestFit="1" customWidth="1"/>
    <col min="12" max="12" width="24.6640625" bestFit="1" customWidth="1"/>
    <col min="13" max="13" width="18.33203125" bestFit="1" customWidth="1"/>
    <col min="15" max="15" width="27.6640625" bestFit="1" customWidth="1"/>
    <col min="16" max="16" width="21.1640625" bestFit="1" customWidth="1"/>
    <col min="18" max="18" width="23.5" bestFit="1" customWidth="1"/>
    <col min="19" max="19" width="17.1640625" bestFit="1" customWidth="1"/>
    <col min="21" max="21" width="23.5" bestFit="1" customWidth="1"/>
    <col min="22" max="22" width="17.1640625" bestFit="1" customWidth="1"/>
    <col min="24" max="24" width="21.6640625" bestFit="1" customWidth="1"/>
    <col min="25" max="25" width="15.1640625" bestFit="1" customWidth="1"/>
  </cols>
  <sheetData>
    <row r="1" spans="1:12">
      <c r="A1" s="1" t="s">
        <v>448</v>
      </c>
    </row>
    <row r="3" spans="1:12">
      <c r="A3" s="48"/>
      <c r="B3" s="48" t="s">
        <v>220</v>
      </c>
      <c r="C3" s="48" t="s">
        <v>218</v>
      </c>
      <c r="D3" s="48" t="s">
        <v>221</v>
      </c>
      <c r="E3" s="48" t="s">
        <v>7</v>
      </c>
      <c r="F3" s="48" t="s">
        <v>391</v>
      </c>
      <c r="G3" s="48" t="s">
        <v>407</v>
      </c>
      <c r="H3" s="48" t="s">
        <v>408</v>
      </c>
      <c r="I3" s="48" t="s">
        <v>409</v>
      </c>
      <c r="J3" s="48" t="s">
        <v>413</v>
      </c>
      <c r="K3" s="48" t="s">
        <v>414</v>
      </c>
      <c r="L3" s="48" t="s">
        <v>415</v>
      </c>
    </row>
    <row r="4" spans="1:12">
      <c r="A4" t="s">
        <v>137</v>
      </c>
      <c r="B4">
        <v>15169.023999999999</v>
      </c>
      <c r="C4">
        <v>8675.5889999999999</v>
      </c>
      <c r="D4">
        <v>9814.8320000000003</v>
      </c>
      <c r="E4">
        <v>14429.953</v>
      </c>
      <c r="F4">
        <f>E4/8830.468</f>
        <v>1.6341096530784096</v>
      </c>
      <c r="G4">
        <f>B4/F4</f>
        <v>9282.7454824857723</v>
      </c>
      <c r="H4">
        <f>C4/F4</f>
        <v>5309.0617166703187</v>
      </c>
      <c r="I4">
        <f>D4/F4</f>
        <v>6006.2260702703616</v>
      </c>
      <c r="J4">
        <f t="shared" ref="J4:J9" si="0">G4/9085.82</f>
        <v>1.0216739361428877</v>
      </c>
      <c r="K4">
        <f t="shared" ref="K4:K9" si="1">H4/4979.1079</f>
        <v>1.0662676574392611</v>
      </c>
      <c r="L4">
        <f>I4/6195.92</f>
        <v>0.9693840576170063</v>
      </c>
    </row>
    <row r="5" spans="1:12">
      <c r="A5" t="s">
        <v>138</v>
      </c>
      <c r="B5">
        <v>13687.468000000001</v>
      </c>
      <c r="C5">
        <v>9628.8320000000003</v>
      </c>
      <c r="D5">
        <v>9951.8819999999996</v>
      </c>
      <c r="E5">
        <v>14819.418</v>
      </c>
      <c r="F5">
        <f t="shared" ref="F5:F9" si="2">E5/8830.468</f>
        <v>1.6782143369977671</v>
      </c>
      <c r="G5">
        <f t="shared" ref="G5:G9" si="3">B5/F5</f>
        <v>8155.9713191856808</v>
      </c>
      <c r="H5">
        <f t="shared" ref="H5:H9" si="4">C5/F5</f>
        <v>5737.5460259894153</v>
      </c>
      <c r="I5">
        <f t="shared" ref="I5:I9" si="5">D5/F5</f>
        <v>5930.0422959104062</v>
      </c>
      <c r="J5">
        <f t="shared" si="0"/>
        <v>0.89765935481725156</v>
      </c>
      <c r="K5">
        <f t="shared" si="1"/>
        <v>1.152324099260716</v>
      </c>
      <c r="L5">
        <f t="shared" ref="L5:L9" si="6">I5/6195.92</f>
        <v>0.95708826064739472</v>
      </c>
    </row>
    <row r="6" spans="1:12">
      <c r="A6" t="s">
        <v>139</v>
      </c>
      <c r="B6">
        <v>16504.882000000001</v>
      </c>
      <c r="C6">
        <v>6540.1040000000003</v>
      </c>
      <c r="D6">
        <v>11094.489</v>
      </c>
      <c r="E6">
        <v>14843.589</v>
      </c>
      <c r="F6">
        <f t="shared" si="2"/>
        <v>1.6809515645150404</v>
      </c>
      <c r="G6">
        <f t="shared" si="3"/>
        <v>9818.7730975828035</v>
      </c>
      <c r="H6">
        <f t="shared" si="4"/>
        <v>3890.7153174796208</v>
      </c>
      <c r="I6">
        <f t="shared" si="5"/>
        <v>6600.1241405196542</v>
      </c>
      <c r="J6">
        <f t="shared" si="0"/>
        <v>1.0806699997999965</v>
      </c>
      <c r="K6">
        <f t="shared" si="1"/>
        <v>0.78140811479092886</v>
      </c>
      <c r="L6">
        <f t="shared" si="6"/>
        <v>1.0652371464640689</v>
      </c>
    </row>
    <row r="7" spans="1:12">
      <c r="A7" t="s">
        <v>404</v>
      </c>
      <c r="B7">
        <v>7920.326</v>
      </c>
      <c r="C7">
        <v>3165.8409999999999</v>
      </c>
      <c r="D7">
        <v>4774.5690000000004</v>
      </c>
      <c r="E7">
        <v>13594.347</v>
      </c>
      <c r="F7">
        <f t="shared" si="2"/>
        <v>1.5394820523668733</v>
      </c>
      <c r="G7">
        <f t="shared" si="3"/>
        <v>5144.7991795831022</v>
      </c>
      <c r="H7">
        <f t="shared" si="4"/>
        <v>2056.4325482929044</v>
      </c>
      <c r="I7">
        <f t="shared" si="5"/>
        <v>3101.4125774700328</v>
      </c>
      <c r="J7">
        <f t="shared" si="0"/>
        <v>0.56624489364560404</v>
      </c>
      <c r="K7">
        <f t="shared" si="1"/>
        <v>0.41301224829711047</v>
      </c>
      <c r="L7">
        <f t="shared" si="6"/>
        <v>0.50055723402981844</v>
      </c>
    </row>
    <row r="8" spans="1:12">
      <c r="A8" t="s">
        <v>405</v>
      </c>
      <c r="B8">
        <v>8195.2250000000004</v>
      </c>
      <c r="C8">
        <v>4870.8609999999999</v>
      </c>
      <c r="D8">
        <v>5116.1540000000005</v>
      </c>
      <c r="E8">
        <v>13202.347</v>
      </c>
      <c r="F8">
        <f t="shared" si="2"/>
        <v>1.4950902941950528</v>
      </c>
      <c r="G8">
        <f t="shared" si="3"/>
        <v>5481.4247887364272</v>
      </c>
      <c r="H8">
        <f t="shared" si="4"/>
        <v>3257.9042342204762</v>
      </c>
      <c r="I8">
        <f t="shared" si="5"/>
        <v>3421.9699103554849</v>
      </c>
      <c r="J8">
        <f t="shared" si="0"/>
        <v>0.60329445099467383</v>
      </c>
      <c r="K8">
        <f t="shared" si="1"/>
        <v>0.65431484909585436</v>
      </c>
      <c r="L8">
        <f t="shared" si="6"/>
        <v>0.55229407583627366</v>
      </c>
    </row>
    <row r="9" spans="1:12">
      <c r="A9" t="s">
        <v>406</v>
      </c>
      <c r="B9">
        <v>4084.6190000000001</v>
      </c>
      <c r="C9">
        <v>1830.7190000000001</v>
      </c>
      <c r="D9">
        <v>4141.2250000000004</v>
      </c>
      <c r="E9">
        <v>8830.4680000000008</v>
      </c>
      <c r="F9">
        <f t="shared" si="2"/>
        <v>1</v>
      </c>
      <c r="G9">
        <f t="shared" si="3"/>
        <v>4084.6190000000001</v>
      </c>
      <c r="H9">
        <f t="shared" si="4"/>
        <v>1830.7190000000001</v>
      </c>
      <c r="I9">
        <f t="shared" si="5"/>
        <v>4141.2250000000004</v>
      </c>
      <c r="J9">
        <f t="shared" si="0"/>
        <v>0.44955975355003736</v>
      </c>
      <c r="K9">
        <f t="shared" si="1"/>
        <v>0.3676801219752639</v>
      </c>
      <c r="L9">
        <f t="shared" si="6"/>
        <v>0.6683793528644657</v>
      </c>
    </row>
    <row r="11" spans="1:12">
      <c r="G11" t="s">
        <v>410</v>
      </c>
      <c r="H11">
        <f>AVERAGE(I4:I6)</f>
        <v>6178.7975022334749</v>
      </c>
    </row>
    <row r="12" spans="1:12">
      <c r="G12" t="s">
        <v>411</v>
      </c>
      <c r="H12">
        <f>AVERAGE(G4:G6)</f>
        <v>9085.8299664180868</v>
      </c>
    </row>
    <row r="13" spans="1:12">
      <c r="G13" t="s">
        <v>412</v>
      </c>
      <c r="H13">
        <f>AVERAGE(H4:H6)</f>
        <v>4979.1076867131178</v>
      </c>
    </row>
    <row r="31" spans="1:1">
      <c r="A31" s="1" t="s">
        <v>326</v>
      </c>
    </row>
    <row r="33" spans="1:25" s="1" customFormat="1">
      <c r="B33" s="1" t="s">
        <v>42</v>
      </c>
      <c r="C33" s="1" t="s">
        <v>233</v>
      </c>
      <c r="D33" s="1" t="s">
        <v>234</v>
      </c>
      <c r="E33" s="1" t="s">
        <v>218</v>
      </c>
      <c r="F33" s="1" t="s">
        <v>235</v>
      </c>
      <c r="G33" s="1" t="s">
        <v>236</v>
      </c>
      <c r="H33" s="1" t="s">
        <v>219</v>
      </c>
      <c r="I33" s="1" t="s">
        <v>237</v>
      </c>
      <c r="J33" s="1" t="s">
        <v>238</v>
      </c>
      <c r="K33" s="1" t="s">
        <v>220</v>
      </c>
      <c r="L33" s="1" t="s">
        <v>239</v>
      </c>
      <c r="M33" s="1" t="s">
        <v>240</v>
      </c>
      <c r="N33" s="1" t="s">
        <v>221</v>
      </c>
      <c r="O33" s="1" t="s">
        <v>241</v>
      </c>
      <c r="P33" s="1" t="s">
        <v>242</v>
      </c>
      <c r="Q33" s="1" t="s">
        <v>222</v>
      </c>
      <c r="R33" s="1" t="s">
        <v>243</v>
      </c>
      <c r="S33" s="1" t="s">
        <v>244</v>
      </c>
      <c r="T33" s="1" t="s">
        <v>85</v>
      </c>
      <c r="U33" s="1" t="s">
        <v>245</v>
      </c>
      <c r="V33" s="1" t="s">
        <v>246</v>
      </c>
      <c r="W33" s="1" t="s">
        <v>232</v>
      </c>
      <c r="X33" s="1" t="s">
        <v>247</v>
      </c>
      <c r="Y33" s="1" t="s">
        <v>248</v>
      </c>
    </row>
    <row r="34" spans="1:25">
      <c r="A34" t="s">
        <v>137</v>
      </c>
      <c r="B34">
        <v>16440.255000000001</v>
      </c>
      <c r="C34">
        <f>B34/C48</f>
        <v>5284.8306241349337</v>
      </c>
      <c r="D34">
        <f>C34/7293.41355</f>
        <v>0.72460317626373094</v>
      </c>
      <c r="E34">
        <v>7112.8410000000003</v>
      </c>
      <c r="F34">
        <f>E34/C48</f>
        <v>2286.4706138318747</v>
      </c>
      <c r="G34">
        <f>F34/3909.61022</f>
        <v>0.58483339391103661</v>
      </c>
      <c r="H34">
        <v>19014.255000000001</v>
      </c>
      <c r="I34">
        <f>H34/C48</f>
        <v>6112.2602489505662</v>
      </c>
      <c r="J34">
        <f>I34/10331.5835</f>
        <v>0.59160923869516868</v>
      </c>
      <c r="K34">
        <v>13072.983</v>
      </c>
      <c r="L34">
        <f>K34/C48</f>
        <v>4202.3983756453517</v>
      </c>
      <c r="M34">
        <f>L34/6500.81586</f>
        <v>0.64644168765077925</v>
      </c>
      <c r="N34">
        <v>11768.205</v>
      </c>
      <c r="O34">
        <f>N34/C48</f>
        <v>3782.9687054791939</v>
      </c>
      <c r="P34">
        <f>O34/5868.95034</f>
        <v>0.64457330294588822</v>
      </c>
      <c r="Q34">
        <v>13844.841</v>
      </c>
      <c r="R34">
        <f>Q34/C48</f>
        <v>4450.5173248881429</v>
      </c>
      <c r="S34">
        <f>R34/7303.27876</f>
        <v>0.60938620462683024</v>
      </c>
      <c r="T34">
        <v>28713.153999999999</v>
      </c>
      <c r="U34">
        <v>9230.0366128568239</v>
      </c>
      <c r="V34">
        <v>0.67108729035925674</v>
      </c>
      <c r="W34">
        <v>9140.8610000000008</v>
      </c>
      <c r="X34">
        <v>2938.3912928212294</v>
      </c>
      <c r="Y34">
        <v>0.74457324323150142</v>
      </c>
    </row>
    <row r="35" spans="1:25">
      <c r="A35" t="s">
        <v>138</v>
      </c>
      <c r="B35">
        <v>14114.841</v>
      </c>
      <c r="C35">
        <f t="shared" ref="C35:C45" si="7">B35/C49</f>
        <v>14114.841</v>
      </c>
      <c r="D35">
        <f t="shared" ref="D35:D45" si="8">C35/7293.41355</f>
        <v>1.9352859814181249</v>
      </c>
      <c r="E35">
        <v>7137.9620000000004</v>
      </c>
      <c r="F35">
        <f t="shared" ref="F35:F45" si="9">E35/C49</f>
        <v>7137.9620000000004</v>
      </c>
      <c r="G35">
        <f t="shared" ref="G35:G44" si="10">F35/3909.61022</f>
        <v>1.8257477340030077</v>
      </c>
      <c r="H35">
        <v>19865.205000000002</v>
      </c>
      <c r="I35">
        <f t="shared" ref="I35:I45" si="11">H35/C49</f>
        <v>19865.205000000002</v>
      </c>
      <c r="J35">
        <f t="shared" ref="J35:J44" si="12">I35/10331.5835</f>
        <v>1.9227647920572872</v>
      </c>
      <c r="K35">
        <v>11654.083000000001</v>
      </c>
      <c r="L35">
        <f t="shared" ref="L35:L45" si="13">K35/C49</f>
        <v>11654.083000000001</v>
      </c>
      <c r="M35">
        <f t="shared" ref="M35:M45" si="14">L35/6500.81586</f>
        <v>1.7927108306064219</v>
      </c>
      <c r="N35">
        <v>11787.548000000001</v>
      </c>
      <c r="O35">
        <f t="shared" ref="O35:O45" si="15">N35/C49</f>
        <v>11787.548000000001</v>
      </c>
      <c r="P35">
        <f t="shared" ref="P35:P45" si="16">O35/5868.95034</f>
        <v>2.0084593184681809</v>
      </c>
      <c r="Q35">
        <v>14052.254999999999</v>
      </c>
      <c r="R35">
        <f t="shared" ref="R35:R45" si="17">Q35/C49</f>
        <v>14052.254999999999</v>
      </c>
      <c r="S35">
        <f t="shared" ref="S35:S45" si="18">R35/7303.27876</f>
        <v>1.9241022370615357</v>
      </c>
      <c r="T35">
        <v>22313.811000000002</v>
      </c>
      <c r="U35">
        <v>22313.811000000002</v>
      </c>
      <c r="V35">
        <v>1.6223678832129527</v>
      </c>
      <c r="W35">
        <v>5960.1540000000005</v>
      </c>
      <c r="X35">
        <v>5960.1540000000005</v>
      </c>
      <c r="Y35">
        <v>1.5102723741324395</v>
      </c>
    </row>
    <row r="36" spans="1:25">
      <c r="A36" t="s">
        <v>139</v>
      </c>
      <c r="B36">
        <v>14604.254999999999</v>
      </c>
      <c r="C36">
        <f t="shared" si="7"/>
        <v>8711.0845828123693</v>
      </c>
      <c r="D36">
        <f t="shared" si="8"/>
        <v>1.1943768885575354</v>
      </c>
      <c r="E36">
        <v>7869.0829999999996</v>
      </c>
      <c r="F36">
        <f t="shared" si="9"/>
        <v>4693.7175228843171</v>
      </c>
      <c r="G36">
        <f t="shared" si="10"/>
        <v>1.2005589454603782</v>
      </c>
      <c r="H36">
        <v>19867.669000000002</v>
      </c>
      <c r="I36">
        <f t="shared" si="11"/>
        <v>11850.583622534614</v>
      </c>
      <c r="J36">
        <f t="shared" si="12"/>
        <v>1.1470249088665463</v>
      </c>
      <c r="K36">
        <v>13106.205</v>
      </c>
      <c r="L36">
        <f t="shared" si="13"/>
        <v>7817.5340210560817</v>
      </c>
      <c r="M36">
        <f t="shared" si="14"/>
        <v>1.2025466017516273</v>
      </c>
      <c r="N36">
        <v>11639.425999999999</v>
      </c>
      <c r="O36">
        <f t="shared" si="15"/>
        <v>6942.6358538237955</v>
      </c>
      <c r="P36">
        <f t="shared" si="16"/>
        <v>1.182943363229036</v>
      </c>
      <c r="Q36">
        <v>14298.254999999999</v>
      </c>
      <c r="R36">
        <f t="shared" si="17"/>
        <v>8528.5629901436168</v>
      </c>
      <c r="S36">
        <f t="shared" si="18"/>
        <v>1.1677718009141989</v>
      </c>
      <c r="T36">
        <v>16441.811000000002</v>
      </c>
      <c r="U36">
        <v>9807.1422551588457</v>
      </c>
      <c r="V36">
        <v>0.71304684891659065</v>
      </c>
      <c r="W36">
        <v>4158.3969999999999</v>
      </c>
      <c r="X36">
        <v>2480.3831483299359</v>
      </c>
      <c r="Y36">
        <v>0.62851633467630985</v>
      </c>
    </row>
    <row r="37" spans="1:25">
      <c r="A37" t="s">
        <v>140</v>
      </c>
      <c r="B37">
        <v>14690.548000000001</v>
      </c>
      <c r="C37">
        <f t="shared" si="7"/>
        <v>3417.7129758073779</v>
      </c>
      <c r="D37">
        <f t="shared" si="8"/>
        <v>0.46860265805267243</v>
      </c>
      <c r="E37">
        <v>7943.79</v>
      </c>
      <c r="F37">
        <f t="shared" si="9"/>
        <v>1848.0994827482875</v>
      </c>
      <c r="G37">
        <f t="shared" si="10"/>
        <v>0.47270683744741376</v>
      </c>
      <c r="H37">
        <v>20772.618999999999</v>
      </c>
      <c r="I37">
        <f t="shared" si="11"/>
        <v>4832.6889846316744</v>
      </c>
      <c r="J37">
        <f t="shared" si="12"/>
        <v>0.46775878882764427</v>
      </c>
      <c r="K37">
        <v>14490.669</v>
      </c>
      <c r="L37">
        <f t="shared" si="13"/>
        <v>3371.2117117366706</v>
      </c>
      <c r="M37">
        <f t="shared" si="14"/>
        <v>0.5185828647262547</v>
      </c>
      <c r="N37">
        <v>11511.962</v>
      </c>
      <c r="O37">
        <f t="shared" si="15"/>
        <v>2678.2242503412026</v>
      </c>
      <c r="P37">
        <f t="shared" si="16"/>
        <v>0.45633786200024357</v>
      </c>
      <c r="Q37">
        <v>14319.79</v>
      </c>
      <c r="R37">
        <f t="shared" si="17"/>
        <v>3331.457212749091</v>
      </c>
      <c r="S37">
        <f t="shared" si="18"/>
        <v>0.45615912006473802</v>
      </c>
      <c r="T37">
        <v>29882.397000000001</v>
      </c>
      <c r="U37">
        <v>6952.0521613712071</v>
      </c>
      <c r="V37">
        <v>0.50546211711795164</v>
      </c>
      <c r="W37">
        <v>11219.983</v>
      </c>
      <c r="X37">
        <v>2610.2961909547685</v>
      </c>
      <c r="Y37">
        <v>0.66143563161323038</v>
      </c>
    </row>
    <row r="38" spans="1:25">
      <c r="A38" t="s">
        <v>141</v>
      </c>
      <c r="B38">
        <v>13999.548000000001</v>
      </c>
      <c r="C38">
        <f t="shared" si="7"/>
        <v>7638.2908239711514</v>
      </c>
      <c r="D38">
        <f t="shared" si="8"/>
        <v>1.0472861262571833</v>
      </c>
      <c r="E38">
        <v>8735.7900000000009</v>
      </c>
      <c r="F38">
        <f t="shared" si="9"/>
        <v>4766.3327842541021</v>
      </c>
      <c r="G38">
        <f t="shared" si="10"/>
        <v>1.2191324751177119</v>
      </c>
      <c r="H38">
        <v>22822.153999999999</v>
      </c>
      <c r="I38">
        <f t="shared" si="11"/>
        <v>12451.991270107897</v>
      </c>
      <c r="J38">
        <f t="shared" si="12"/>
        <v>1.2052355062617359</v>
      </c>
      <c r="K38">
        <v>13533.669</v>
      </c>
      <c r="L38">
        <f t="shared" si="13"/>
        <v>7384.1026679834822</v>
      </c>
      <c r="M38">
        <f t="shared" si="14"/>
        <v>1.1358732237623299</v>
      </c>
      <c r="N38">
        <v>11705.962</v>
      </c>
      <c r="O38">
        <f t="shared" si="15"/>
        <v>6386.8877859738741</v>
      </c>
      <c r="P38">
        <f t="shared" si="16"/>
        <v>1.0882504393407211</v>
      </c>
      <c r="Q38">
        <v>15475.79</v>
      </c>
      <c r="R38">
        <f t="shared" si="17"/>
        <v>8443.742951608474</v>
      </c>
      <c r="S38">
        <f t="shared" si="18"/>
        <v>1.1561578339108165</v>
      </c>
      <c r="T38">
        <v>36358.932999999997</v>
      </c>
      <c r="U38">
        <v>19837.790784622608</v>
      </c>
      <c r="V38">
        <v>1.4423441447482728</v>
      </c>
      <c r="W38">
        <v>11051.811</v>
      </c>
      <c r="X38">
        <v>6029.9765784983501</v>
      </c>
      <c r="Y38">
        <v>1.527965056468626</v>
      </c>
    </row>
    <row r="39" spans="1:25">
      <c r="A39" t="s">
        <v>223</v>
      </c>
      <c r="B39">
        <v>14391.254999999999</v>
      </c>
      <c r="C39">
        <f t="shared" si="7"/>
        <v>4593.7212706753407</v>
      </c>
      <c r="D39">
        <f t="shared" si="8"/>
        <v>0.62984516635222754</v>
      </c>
      <c r="E39">
        <v>8537.1540000000005</v>
      </c>
      <c r="F39">
        <f t="shared" si="9"/>
        <v>2725.0789400112135</v>
      </c>
      <c r="G39">
        <f t="shared" si="10"/>
        <v>0.69702062013005828</v>
      </c>
      <c r="H39">
        <v>21543.618999999999</v>
      </c>
      <c r="I39">
        <f t="shared" si="11"/>
        <v>6876.7720985852466</v>
      </c>
      <c r="J39">
        <f t="shared" si="12"/>
        <v>0.66560678705110854</v>
      </c>
      <c r="K39">
        <v>14334.376</v>
      </c>
      <c r="L39">
        <f t="shared" si="13"/>
        <v>4575.5653647342169</v>
      </c>
      <c r="M39">
        <f t="shared" si="14"/>
        <v>0.70384478860384414</v>
      </c>
      <c r="N39">
        <v>11389.134</v>
      </c>
      <c r="O39">
        <f t="shared" si="15"/>
        <v>3635.4374312991977</v>
      </c>
      <c r="P39">
        <f t="shared" si="16"/>
        <v>0.61943571178678558</v>
      </c>
      <c r="Q39">
        <v>15705.205</v>
      </c>
      <c r="R39">
        <f t="shared" si="17"/>
        <v>5013.137093937723</v>
      </c>
      <c r="S39">
        <f t="shared" si="18"/>
        <v>0.68642280524668386</v>
      </c>
      <c r="T39">
        <v>45056.983</v>
      </c>
      <c r="U39">
        <v>14382.291273384932</v>
      </c>
      <c r="V39">
        <v>1.0456917219991526</v>
      </c>
      <c r="W39">
        <v>11463.69</v>
      </c>
      <c r="X39">
        <v>3659.2358757751294</v>
      </c>
      <c r="Y39">
        <v>0.92723155368426735</v>
      </c>
    </row>
    <row r="40" spans="1:25">
      <c r="A40" t="s">
        <v>224</v>
      </c>
      <c r="B40">
        <v>10002.548000000001</v>
      </c>
      <c r="C40">
        <f t="shared" si="7"/>
        <v>5366.1992612635931</v>
      </c>
      <c r="D40">
        <f t="shared" si="8"/>
        <v>0.73575963086085983</v>
      </c>
      <c r="E40">
        <v>5072.6689999999999</v>
      </c>
      <c r="F40">
        <f t="shared" si="9"/>
        <v>2721.4018508518757</v>
      </c>
      <c r="G40">
        <f t="shared" si="10"/>
        <v>0.69608009436088381</v>
      </c>
      <c r="H40">
        <v>15521.79</v>
      </c>
      <c r="I40">
        <f t="shared" si="11"/>
        <v>8327.1800376752635</v>
      </c>
      <c r="J40">
        <f t="shared" si="12"/>
        <v>0.80599261842826542</v>
      </c>
      <c r="K40">
        <v>7358.4260000000004</v>
      </c>
      <c r="L40">
        <f t="shared" si="13"/>
        <v>3947.6721496625478</v>
      </c>
      <c r="M40">
        <f t="shared" si="14"/>
        <v>0.60725795572104513</v>
      </c>
      <c r="N40">
        <v>3983.7190000000001</v>
      </c>
      <c r="O40">
        <f t="shared" si="15"/>
        <v>2137.1984373263431</v>
      </c>
      <c r="P40">
        <f t="shared" si="16"/>
        <v>0.36415343690339402</v>
      </c>
      <c r="Q40">
        <v>6546.9120000000003</v>
      </c>
      <c r="R40">
        <f t="shared" si="17"/>
        <v>3512.308497590589</v>
      </c>
      <c r="S40">
        <f t="shared" si="18"/>
        <v>0.48092214647857545</v>
      </c>
      <c r="T40">
        <v>44778.396999999997</v>
      </c>
      <c r="U40">
        <v>24022.859065706845</v>
      </c>
      <c r="V40">
        <v>1.7466274591621263</v>
      </c>
      <c r="W40">
        <v>12641.983</v>
      </c>
      <c r="X40">
        <v>6782.2118759646946</v>
      </c>
      <c r="Y40">
        <v>1.7185776125553844</v>
      </c>
    </row>
    <row r="41" spans="1:25">
      <c r="A41" t="s">
        <v>225</v>
      </c>
      <c r="B41">
        <v>8808.9619999999995</v>
      </c>
      <c r="C41">
        <f t="shared" si="7"/>
        <v>3970.0666864464574</v>
      </c>
      <c r="D41">
        <f t="shared" si="8"/>
        <v>0.54433588048033521</v>
      </c>
      <c r="E41">
        <v>5572.6689999999999</v>
      </c>
      <c r="F41">
        <f t="shared" si="9"/>
        <v>2511.5181052538192</v>
      </c>
      <c r="G41">
        <f t="shared" si="10"/>
        <v>0.64239603539143064</v>
      </c>
      <c r="H41">
        <v>17482.912</v>
      </c>
      <c r="I41">
        <f t="shared" si="11"/>
        <v>7879.2854950759256</v>
      </c>
      <c r="J41">
        <f t="shared" si="12"/>
        <v>0.76264064410609711</v>
      </c>
      <c r="K41">
        <v>4970.134</v>
      </c>
      <c r="L41">
        <f t="shared" si="13"/>
        <v>2239.9646428915098</v>
      </c>
      <c r="M41">
        <f t="shared" si="14"/>
        <v>0.34456669610874197</v>
      </c>
      <c r="N41">
        <v>5586.598</v>
      </c>
      <c r="O41">
        <f t="shared" si="15"/>
        <v>2517.7956960613983</v>
      </c>
      <c r="P41">
        <f t="shared" si="16"/>
        <v>0.42900272624583125</v>
      </c>
      <c r="Q41">
        <v>8819.134</v>
      </c>
      <c r="R41">
        <f t="shared" si="17"/>
        <v>3974.651053859387</v>
      </c>
      <c r="S41">
        <f t="shared" si="18"/>
        <v>0.54422830956809687</v>
      </c>
      <c r="T41">
        <v>30191.103999999999</v>
      </c>
      <c r="U41">
        <v>13606.67649803012</v>
      </c>
      <c r="V41">
        <v>0.98929918101719849</v>
      </c>
      <c r="W41">
        <v>5123.3969999999999</v>
      </c>
      <c r="X41">
        <v>2309.0379719131179</v>
      </c>
      <c r="Y41">
        <v>0.58509834809690786</v>
      </c>
    </row>
    <row r="42" spans="1:25">
      <c r="A42" t="s">
        <v>226</v>
      </c>
      <c r="B42">
        <v>13700.718999999999</v>
      </c>
      <c r="C42">
        <f t="shared" si="7"/>
        <v>5928.6628256646418</v>
      </c>
      <c r="D42">
        <f t="shared" si="8"/>
        <v>0.81287901543230623</v>
      </c>
      <c r="E42">
        <v>7145.3760000000002</v>
      </c>
      <c r="F42">
        <f t="shared" si="9"/>
        <v>3091.9928411491628</v>
      </c>
      <c r="G42">
        <f t="shared" si="10"/>
        <v>0.79086984818378203</v>
      </c>
      <c r="H42">
        <v>19915.912</v>
      </c>
      <c r="I42">
        <f t="shared" si="11"/>
        <v>8618.1409248382042</v>
      </c>
      <c r="J42">
        <f t="shared" si="12"/>
        <v>0.83415489260075226</v>
      </c>
      <c r="K42">
        <v>9688.4259999999995</v>
      </c>
      <c r="L42">
        <f t="shared" si="13"/>
        <v>4192.4377155244756</v>
      </c>
      <c r="M42">
        <f t="shared" si="14"/>
        <v>0.64490947072056826</v>
      </c>
      <c r="N42">
        <v>9162.4259999999995</v>
      </c>
      <c r="O42">
        <f t="shared" si="15"/>
        <v>3964.8236285338876</v>
      </c>
      <c r="P42">
        <f t="shared" si="16"/>
        <v>0.67555923953070751</v>
      </c>
      <c r="Q42">
        <v>13409.254999999999</v>
      </c>
      <c r="R42">
        <f t="shared" si="17"/>
        <v>5802.5386578877888</v>
      </c>
      <c r="S42">
        <f t="shared" si="18"/>
        <v>0.7945114582875088</v>
      </c>
      <c r="T42">
        <v>45861.983</v>
      </c>
      <c r="U42">
        <v>19845.690851944615</v>
      </c>
      <c r="V42">
        <v>1.4429185341028496</v>
      </c>
      <c r="W42">
        <v>13424.619000000001</v>
      </c>
      <c r="X42">
        <v>5809.1870663146392</v>
      </c>
      <c r="Y42">
        <v>1.4720181294682102</v>
      </c>
    </row>
    <row r="43" spans="1:25">
      <c r="A43" t="s">
        <v>227</v>
      </c>
      <c r="B43">
        <v>9285.8410000000003</v>
      </c>
      <c r="C43">
        <f t="shared" si="7"/>
        <v>4486.9502775405426</v>
      </c>
      <c r="D43">
        <f t="shared" si="8"/>
        <v>0.61520579448570312</v>
      </c>
      <c r="E43">
        <v>5765.4260000000004</v>
      </c>
      <c r="F43">
        <f t="shared" si="9"/>
        <v>2785.8736533222418</v>
      </c>
      <c r="G43">
        <f t="shared" si="10"/>
        <v>0.71257069031353248</v>
      </c>
      <c r="H43">
        <v>16207.912</v>
      </c>
      <c r="I43">
        <f t="shared" si="11"/>
        <v>7831.7187691187783</v>
      </c>
      <c r="J43">
        <f t="shared" si="12"/>
        <v>0.75803663292454426</v>
      </c>
      <c r="K43">
        <v>4575.9620000000004</v>
      </c>
      <c r="L43">
        <f t="shared" si="13"/>
        <v>2211.1205614994892</v>
      </c>
      <c r="M43">
        <f t="shared" si="14"/>
        <v>0.34012970204319698</v>
      </c>
      <c r="N43">
        <v>6391.7190000000001</v>
      </c>
      <c r="O43">
        <f t="shared" si="15"/>
        <v>3088.5005828778631</v>
      </c>
      <c r="P43">
        <f t="shared" si="16"/>
        <v>0.526244115890383</v>
      </c>
      <c r="Q43">
        <v>8554.134</v>
      </c>
      <c r="R43">
        <f t="shared" si="17"/>
        <v>4133.3869409802501</v>
      </c>
      <c r="S43">
        <f t="shared" si="18"/>
        <v>0.56596318952232494</v>
      </c>
      <c r="T43">
        <v>29140.69</v>
      </c>
      <c r="U43">
        <v>14080.881536009812</v>
      </c>
      <c r="V43">
        <v>1.0237771562799645</v>
      </c>
      <c r="W43">
        <v>6409.1540000000005</v>
      </c>
      <c r="X43">
        <v>3096.9252347848815</v>
      </c>
      <c r="Y43">
        <v>0.7847449288809023</v>
      </c>
    </row>
    <row r="44" spans="1:25">
      <c r="A44" t="s">
        <v>228</v>
      </c>
      <c r="B44">
        <v>6013.7190000000001</v>
      </c>
      <c r="C44">
        <f t="shared" si="7"/>
        <v>2803.0666408584202</v>
      </c>
      <c r="D44">
        <f t="shared" si="8"/>
        <v>0.38432849332373592</v>
      </c>
      <c r="E44">
        <v>5404.4260000000004</v>
      </c>
      <c r="F44">
        <f t="shared" si="9"/>
        <v>2519.0678569430847</v>
      </c>
      <c r="G44">
        <f t="shared" si="10"/>
        <v>0.64432711068140314</v>
      </c>
      <c r="H44">
        <v>14203.376</v>
      </c>
      <c r="I44">
        <f t="shared" si="11"/>
        <v>6620.364112983847</v>
      </c>
      <c r="J44">
        <f t="shared" si="12"/>
        <v>0.64078890839761848</v>
      </c>
      <c r="K44">
        <v>3299.355</v>
      </c>
      <c r="L44">
        <f t="shared" si="13"/>
        <v>1537.8689853731832</v>
      </c>
      <c r="M44">
        <f t="shared" si="14"/>
        <v>0.23656553554082416</v>
      </c>
      <c r="N44">
        <v>5473.134</v>
      </c>
      <c r="O44">
        <f t="shared" si="15"/>
        <v>2551.0934808141201</v>
      </c>
      <c r="P44">
        <f t="shared" si="16"/>
        <v>0.43467627651013996</v>
      </c>
      <c r="Q44">
        <v>6873.0119999999997</v>
      </c>
      <c r="R44">
        <f t="shared" si="17"/>
        <v>3203.5934268660726</v>
      </c>
      <c r="S44">
        <f t="shared" si="18"/>
        <v>0.43865139646758772</v>
      </c>
      <c r="T44">
        <v>36639.275999999998</v>
      </c>
      <c r="U44">
        <v>17078.006521555886</v>
      </c>
      <c r="V44">
        <v>1.2416888038476988</v>
      </c>
      <c r="W44">
        <v>12959.983</v>
      </c>
      <c r="X44">
        <v>6040.8037045615592</v>
      </c>
      <c r="Y44">
        <v>1.5307085945356818</v>
      </c>
    </row>
    <row r="45" spans="1:25">
      <c r="A45" t="s">
        <v>229</v>
      </c>
      <c r="B45">
        <v>8867.3549999999996</v>
      </c>
      <c r="C45">
        <f t="shared" si="7"/>
        <v>4909.0151397225227</v>
      </c>
      <c r="D45">
        <f t="shared" si="8"/>
        <v>0.67307511168381817</v>
      </c>
      <c r="E45">
        <v>4527.3760000000002</v>
      </c>
      <c r="F45">
        <f t="shared" si="9"/>
        <v>2506.3795604457473</v>
      </c>
      <c r="G45">
        <f>F45/3909.61022</f>
        <v>0.64108169853457853</v>
      </c>
      <c r="H45">
        <v>10945.012000000001</v>
      </c>
      <c r="I45">
        <f t="shared" si="11"/>
        <v>6059.2171636801158</v>
      </c>
      <c r="J45">
        <f>I45/10331.5835</f>
        <v>0.58647516749781048</v>
      </c>
      <c r="K45">
        <v>3721.527</v>
      </c>
      <c r="L45">
        <f t="shared" si="13"/>
        <v>2060.2572453551415</v>
      </c>
      <c r="M45">
        <f t="shared" si="14"/>
        <v>0.31692287394756968</v>
      </c>
      <c r="N45">
        <v>6871.7190000000001</v>
      </c>
      <c r="O45">
        <f t="shared" si="15"/>
        <v>3804.22037991249</v>
      </c>
      <c r="P45">
        <f t="shared" si="16"/>
        <v>0.64819433791843772</v>
      </c>
      <c r="Q45">
        <v>9083.7189999999991</v>
      </c>
      <c r="R45">
        <f t="shared" si="17"/>
        <v>5028.7954069714287</v>
      </c>
      <c r="S45">
        <f t="shared" si="18"/>
        <v>0.68856681666241493</v>
      </c>
      <c r="T45">
        <v>23845.032999999999</v>
      </c>
      <c r="U45">
        <v>13200.737762746972</v>
      </c>
      <c r="V45">
        <v>0.95978463656419311</v>
      </c>
      <c r="W45">
        <v>12459.569</v>
      </c>
      <c r="X45">
        <v>6897.6840168705794</v>
      </c>
      <c r="Y45">
        <v>1.747837659257548</v>
      </c>
    </row>
    <row r="46" spans="1:25">
      <c r="A46">
        <f>AVERAGE(C34:C39)</f>
        <v>7293.4135462335298</v>
      </c>
      <c r="B46">
        <f>AVERAGE(C40:C45)</f>
        <v>4577.3268052493631</v>
      </c>
      <c r="D46">
        <f>AVERAGE(F34:F39)</f>
        <v>3909.6102239549655</v>
      </c>
      <c r="G46">
        <f>AVERAGE(I34:I39)</f>
        <v>10331.583537468336</v>
      </c>
      <c r="J46">
        <f>AVERAGE(L34:L39)</f>
        <v>6500.8158568593017</v>
      </c>
      <c r="M46">
        <f>AVERAGE(O34:O39)</f>
        <v>5868.9503378195441</v>
      </c>
      <c r="P46">
        <f>AVERAGE(R34:R39)</f>
        <v>7303.2787622211736</v>
      </c>
    </row>
    <row r="47" spans="1:25" s="1" customFormat="1">
      <c r="B47" s="1" t="s">
        <v>7</v>
      </c>
      <c r="E47" s="1" t="s">
        <v>230</v>
      </c>
      <c r="F47" s="1" t="s">
        <v>249</v>
      </c>
      <c r="G47" s="1" t="s">
        <v>250</v>
      </c>
      <c r="H47" s="1" t="s">
        <v>231</v>
      </c>
      <c r="I47" s="1" t="s">
        <v>251</v>
      </c>
      <c r="J47" s="1" t="s">
        <v>252</v>
      </c>
    </row>
    <row r="48" spans="1:25">
      <c r="A48" t="s">
        <v>137</v>
      </c>
      <c r="B48">
        <v>13826.962</v>
      </c>
      <c r="C48">
        <f>B48/4444.77</f>
        <v>3.1108385810739358</v>
      </c>
      <c r="E48">
        <v>7383.8909999999996</v>
      </c>
      <c r="F48">
        <f>E48/C48</f>
        <v>2373.6014606874601</v>
      </c>
      <c r="G48">
        <f>F48/3037.47482</f>
        <v>0.78143905755487386</v>
      </c>
      <c r="H48">
        <v>7613.134</v>
      </c>
      <c r="I48">
        <f>H48/C48</f>
        <v>2447.2931660027707</v>
      </c>
      <c r="J48">
        <f>I48/2951.80172</f>
        <v>0.82908453824018058</v>
      </c>
    </row>
    <row r="49" spans="1:10">
      <c r="A49" t="s">
        <v>138</v>
      </c>
      <c r="B49">
        <v>4444.7700000000004</v>
      </c>
      <c r="C49">
        <f t="shared" ref="C49:C59" si="19">B49/4444.77</f>
        <v>1</v>
      </c>
      <c r="E49">
        <v>3533.6480000000001</v>
      </c>
      <c r="F49">
        <f t="shared" ref="F49:F59" si="20">E49/C49</f>
        <v>3533.6480000000001</v>
      </c>
      <c r="G49">
        <f t="shared" ref="G49:G59" si="21">F49/3037.47482</f>
        <v>1.1633505491907254</v>
      </c>
      <c r="H49">
        <v>4375.3050000000003</v>
      </c>
      <c r="I49">
        <f t="shared" ref="I49:I59" si="22">H49/C49</f>
        <v>4375.3050000000003</v>
      </c>
      <c r="J49">
        <f t="shared" ref="J49:J59" si="23">I49/2951.80172</f>
        <v>1.4822489499735099</v>
      </c>
    </row>
    <row r="50" spans="1:10">
      <c r="A50" t="s">
        <v>139</v>
      </c>
      <c r="B50">
        <v>7451.7190000000001</v>
      </c>
      <c r="C50">
        <f t="shared" si="19"/>
        <v>1.6765139703516716</v>
      </c>
      <c r="E50">
        <v>6462.7190000000001</v>
      </c>
      <c r="F50">
        <f t="shared" si="20"/>
        <v>3854.8554406882495</v>
      </c>
      <c r="G50">
        <f t="shared" si="21"/>
        <v>1.269098731389072</v>
      </c>
      <c r="H50">
        <v>5417.77</v>
      </c>
      <c r="I50">
        <f t="shared" si="22"/>
        <v>3231.568657231976</v>
      </c>
      <c r="J50">
        <f t="shared" si="23"/>
        <v>1.0947783637825024</v>
      </c>
    </row>
    <row r="51" spans="1:10">
      <c r="A51" t="s">
        <v>140</v>
      </c>
      <c r="B51">
        <v>19105.205000000002</v>
      </c>
      <c r="C51">
        <f t="shared" si="19"/>
        <v>4.2983562704031932</v>
      </c>
      <c r="E51">
        <v>11746.376</v>
      </c>
      <c r="F51">
        <f t="shared" si="20"/>
        <v>2732.7599810376282</v>
      </c>
      <c r="G51">
        <f t="shared" si="21"/>
        <v>0.89968152593200046</v>
      </c>
      <c r="H51">
        <v>11694.305</v>
      </c>
      <c r="I51">
        <f t="shared" si="22"/>
        <v>2720.6458153602644</v>
      </c>
      <c r="J51">
        <f t="shared" si="23"/>
        <v>0.92168989431995607</v>
      </c>
    </row>
    <row r="52" spans="1:10">
      <c r="A52" t="s">
        <v>141</v>
      </c>
      <c r="B52">
        <v>8146.4260000000004</v>
      </c>
      <c r="C52">
        <f t="shared" si="19"/>
        <v>1.8328115965505525</v>
      </c>
      <c r="E52">
        <v>6077.134</v>
      </c>
      <c r="F52">
        <f t="shared" si="20"/>
        <v>3315.7439703226914</v>
      </c>
      <c r="G52">
        <f t="shared" si="21"/>
        <v>1.0916120023416989</v>
      </c>
      <c r="H52">
        <v>5202.2340000000004</v>
      </c>
      <c r="I52">
        <f t="shared" si="22"/>
        <v>2838.3899413288727</v>
      </c>
      <c r="J52">
        <f t="shared" si="23"/>
        <v>0.9615787951125907</v>
      </c>
    </row>
    <row r="53" spans="1:10">
      <c r="A53" t="s">
        <v>223</v>
      </c>
      <c r="B53">
        <v>13924.619000000001</v>
      </c>
      <c r="C53">
        <f t="shared" si="19"/>
        <v>3.1328097966823929</v>
      </c>
      <c r="E53">
        <v>7563.3549999999996</v>
      </c>
      <c r="F53">
        <f t="shared" si="20"/>
        <v>2414.2400882458614</v>
      </c>
      <c r="G53">
        <f t="shared" si="21"/>
        <v>0.7948181404993051</v>
      </c>
      <c r="H53">
        <v>6571.4059999999999</v>
      </c>
      <c r="I53">
        <f t="shared" si="22"/>
        <v>2097.6077152717789</v>
      </c>
      <c r="J53">
        <f t="shared" si="23"/>
        <v>0.7106194501681431</v>
      </c>
    </row>
    <row r="54" spans="1:10">
      <c r="A54" t="s">
        <v>224</v>
      </c>
      <c r="B54">
        <v>8285.0120000000006</v>
      </c>
      <c r="C54">
        <f t="shared" si="19"/>
        <v>1.863991162647336</v>
      </c>
      <c r="E54">
        <v>5409.598</v>
      </c>
      <c r="F54">
        <f t="shared" si="20"/>
        <v>2902.1586091196973</v>
      </c>
      <c r="G54">
        <f t="shared" si="21"/>
        <v>0.95545108391044942</v>
      </c>
      <c r="H54">
        <v>3374.82</v>
      </c>
      <c r="I54">
        <f t="shared" si="22"/>
        <v>1810.5343349412169</v>
      </c>
      <c r="J54">
        <f t="shared" si="23"/>
        <v>0.61336583777761911</v>
      </c>
    </row>
    <row r="55" spans="1:10">
      <c r="A55" t="s">
        <v>225</v>
      </c>
      <c r="B55">
        <v>9862.2549999999992</v>
      </c>
      <c r="C55">
        <f t="shared" si="19"/>
        <v>2.2188448446151314</v>
      </c>
      <c r="E55">
        <v>6959.6689999999999</v>
      </c>
      <c r="F55">
        <f t="shared" si="20"/>
        <v>3136.6181447478298</v>
      </c>
      <c r="G55">
        <f t="shared" si="21"/>
        <v>1.0326400482713565</v>
      </c>
      <c r="H55">
        <v>5095.6480000000001</v>
      </c>
      <c r="I55">
        <f t="shared" si="22"/>
        <v>2296.531914958598</v>
      </c>
      <c r="J55">
        <f t="shared" si="23"/>
        <v>0.77801022317942081</v>
      </c>
    </row>
    <row r="56" spans="1:10">
      <c r="A56" t="s">
        <v>226</v>
      </c>
      <c r="B56">
        <v>10271.548000000001</v>
      </c>
      <c r="C56">
        <f t="shared" si="19"/>
        <v>2.3109290244489591</v>
      </c>
      <c r="E56">
        <v>5647.9620000000004</v>
      </c>
      <c r="F56">
        <f t="shared" si="20"/>
        <v>2444.0222699382803</v>
      </c>
      <c r="G56">
        <f t="shared" si="21"/>
        <v>0.80462305525820965</v>
      </c>
      <c r="H56">
        <v>5829.77</v>
      </c>
      <c r="I56">
        <f t="shared" si="22"/>
        <v>2522.6953914736127</v>
      </c>
      <c r="J56">
        <f t="shared" si="23"/>
        <v>0.85462901331787722</v>
      </c>
    </row>
    <row r="57" spans="1:10">
      <c r="A57" t="s">
        <v>227</v>
      </c>
      <c r="B57">
        <v>9198.5480000000007</v>
      </c>
      <c r="C57">
        <f t="shared" si="19"/>
        <v>2.069521707534923</v>
      </c>
      <c r="E57">
        <v>6427.0119999999997</v>
      </c>
      <c r="F57">
        <f t="shared" si="20"/>
        <v>3105.5542817453361</v>
      </c>
      <c r="G57">
        <f t="shared" si="21"/>
        <v>1.0224131773198819</v>
      </c>
      <c r="H57">
        <v>6065.8909999999996</v>
      </c>
      <c r="I57">
        <f t="shared" si="22"/>
        <v>2931.0593737261574</v>
      </c>
      <c r="J57">
        <f t="shared" si="23"/>
        <v>0.99297298794383704</v>
      </c>
    </row>
    <row r="58" spans="1:10">
      <c r="A58" t="s">
        <v>228</v>
      </c>
      <c r="B58">
        <v>9535.8410000000003</v>
      </c>
      <c r="C58">
        <f t="shared" si="19"/>
        <v>2.1454070739318345</v>
      </c>
      <c r="E58">
        <v>5901.8410000000003</v>
      </c>
      <c r="F58">
        <f t="shared" si="20"/>
        <v>2750.9189615860837</v>
      </c>
      <c r="G58">
        <f t="shared" si="21"/>
        <v>0.90565984069164518</v>
      </c>
      <c r="H58">
        <v>6226.3050000000003</v>
      </c>
      <c r="I58">
        <f t="shared" si="22"/>
        <v>2902.1555282696095</v>
      </c>
      <c r="J58">
        <f t="shared" si="23"/>
        <v>0.98318105467788997</v>
      </c>
    </row>
    <row r="59" spans="1:10">
      <c r="A59" t="s">
        <v>229</v>
      </c>
      <c r="B59">
        <v>8028.77</v>
      </c>
      <c r="C59">
        <f t="shared" si="19"/>
        <v>1.8063409355264726</v>
      </c>
      <c r="E59">
        <v>4200.7190000000001</v>
      </c>
      <c r="F59">
        <f t="shared" si="20"/>
        <v>2325.5404986853528</v>
      </c>
      <c r="G59">
        <f t="shared" si="21"/>
        <v>0.76561638745876182</v>
      </c>
      <c r="H59">
        <v>5683.3549999999996</v>
      </c>
      <c r="I59">
        <f t="shared" si="22"/>
        <v>3146.3357156015181</v>
      </c>
      <c r="J59">
        <f t="shared" si="23"/>
        <v>1.0659034766066597</v>
      </c>
    </row>
    <row r="60" spans="1:10">
      <c r="D60">
        <f>AVERAGE(F48:F53)</f>
        <v>3037.4748234969825</v>
      </c>
      <c r="G60">
        <f>AVERAGE(I48:I53)</f>
        <v>2951.8017158659441</v>
      </c>
    </row>
    <row r="63" spans="1:10" s="1" customFormat="1">
      <c r="A63" s="1" t="s">
        <v>253</v>
      </c>
      <c r="B63" s="1" t="s">
        <v>42</v>
      </c>
      <c r="C63" s="1" t="s">
        <v>218</v>
      </c>
      <c r="D63" s="1" t="s">
        <v>219</v>
      </c>
      <c r="E63" s="1" t="s">
        <v>220</v>
      </c>
      <c r="F63" s="1" t="s">
        <v>221</v>
      </c>
      <c r="G63" s="1" t="s">
        <v>85</v>
      </c>
      <c r="H63" s="1" t="s">
        <v>232</v>
      </c>
    </row>
    <row r="64" spans="1:10">
      <c r="A64" t="s">
        <v>137</v>
      </c>
      <c r="B64">
        <v>0.72460317626373094</v>
      </c>
      <c r="C64">
        <v>0.58483339391103661</v>
      </c>
      <c r="D64">
        <v>0.59160923869516868</v>
      </c>
      <c r="E64">
        <v>0.64644168765077925</v>
      </c>
      <c r="F64">
        <v>0.64457330294588822</v>
      </c>
      <c r="G64">
        <v>0.67108729035925674</v>
      </c>
      <c r="H64">
        <v>0.74457324323150142</v>
      </c>
    </row>
    <row r="65" spans="1:8">
      <c r="A65" t="s">
        <v>138</v>
      </c>
      <c r="B65">
        <v>1.9352859814181249</v>
      </c>
      <c r="C65">
        <v>1.8257477340030077</v>
      </c>
      <c r="D65">
        <v>1.9227647920572872</v>
      </c>
      <c r="E65">
        <v>1.7927108306064219</v>
      </c>
      <c r="F65">
        <v>2.0084593184681809</v>
      </c>
      <c r="G65">
        <v>1.6223678832129527</v>
      </c>
      <c r="H65">
        <v>1.5102723741324395</v>
      </c>
    </row>
    <row r="66" spans="1:8">
      <c r="A66" t="s">
        <v>139</v>
      </c>
      <c r="B66">
        <v>1.1943768885575354</v>
      </c>
      <c r="C66">
        <v>1.2005589454603782</v>
      </c>
      <c r="D66">
        <v>1.1470249088665463</v>
      </c>
      <c r="E66">
        <v>1.2025466017516273</v>
      </c>
      <c r="F66">
        <v>1.182943363229036</v>
      </c>
      <c r="G66">
        <v>0.71304684891659065</v>
      </c>
      <c r="H66">
        <v>0.62851633467630985</v>
      </c>
    </row>
    <row r="67" spans="1:8">
      <c r="A67" t="s">
        <v>140</v>
      </c>
      <c r="B67">
        <v>0.46860265805267243</v>
      </c>
      <c r="C67">
        <v>0.47270683744741376</v>
      </c>
      <c r="D67">
        <v>0.46775878882764427</v>
      </c>
      <c r="E67">
        <v>0.5185828647262547</v>
      </c>
      <c r="F67">
        <v>0.45633786200024357</v>
      </c>
      <c r="G67">
        <v>0.50546211711795164</v>
      </c>
      <c r="H67">
        <v>0.66143563161323038</v>
      </c>
    </row>
    <row r="68" spans="1:8">
      <c r="A68" t="s">
        <v>141</v>
      </c>
      <c r="B68">
        <v>1.0472861262571833</v>
      </c>
      <c r="C68">
        <v>1.2191324751177119</v>
      </c>
      <c r="D68">
        <v>1.2052355062617359</v>
      </c>
      <c r="E68">
        <v>1.1358732237623299</v>
      </c>
      <c r="F68">
        <v>1.0882504393407211</v>
      </c>
      <c r="G68">
        <v>1.4423441447482728</v>
      </c>
      <c r="H68">
        <v>1.527965056468626</v>
      </c>
    </row>
    <row r="69" spans="1:8">
      <c r="A69" t="s">
        <v>223</v>
      </c>
      <c r="B69">
        <v>0.62984516635222754</v>
      </c>
      <c r="C69">
        <v>0.69702062013005828</v>
      </c>
      <c r="D69">
        <v>0.66560678705110854</v>
      </c>
      <c r="E69">
        <v>0.70384478860384414</v>
      </c>
      <c r="F69">
        <v>0.61943571178678558</v>
      </c>
      <c r="G69">
        <v>1.0456917219991526</v>
      </c>
      <c r="H69">
        <v>0.92723155368426735</v>
      </c>
    </row>
    <row r="70" spans="1:8">
      <c r="A70" t="s">
        <v>224</v>
      </c>
      <c r="B70">
        <v>0.73575963086085983</v>
      </c>
      <c r="C70">
        <v>0.69608009436088381</v>
      </c>
      <c r="D70">
        <v>0.80599261842826542</v>
      </c>
      <c r="E70">
        <v>0.60725795572104513</v>
      </c>
      <c r="F70">
        <v>0.36415343690339402</v>
      </c>
      <c r="G70">
        <v>1.7466274591621263</v>
      </c>
      <c r="H70">
        <v>1.7185776125553844</v>
      </c>
    </row>
    <row r="71" spans="1:8">
      <c r="A71" t="s">
        <v>225</v>
      </c>
      <c r="B71">
        <v>0.54433588048033521</v>
      </c>
      <c r="C71">
        <v>0.64239603539143064</v>
      </c>
      <c r="D71">
        <v>0.76264064410609711</v>
      </c>
      <c r="E71">
        <v>0.34456669610874197</v>
      </c>
      <c r="F71">
        <v>0.42900272624583125</v>
      </c>
      <c r="G71">
        <v>0.98929918101719849</v>
      </c>
      <c r="H71">
        <v>0.58509834809690786</v>
      </c>
    </row>
    <row r="72" spans="1:8">
      <c r="A72" t="s">
        <v>226</v>
      </c>
      <c r="B72">
        <v>0.81287901543230623</v>
      </c>
      <c r="C72">
        <v>0.79086984818378203</v>
      </c>
      <c r="D72">
        <v>0.83415489260075226</v>
      </c>
      <c r="E72">
        <v>0.64490947072056826</v>
      </c>
      <c r="F72">
        <v>0.67555923953070751</v>
      </c>
      <c r="G72">
        <v>1.4429185341028496</v>
      </c>
      <c r="H72">
        <v>1.4720181294682102</v>
      </c>
    </row>
    <row r="73" spans="1:8">
      <c r="A73" t="s">
        <v>227</v>
      </c>
      <c r="B73">
        <v>0.61520579448570312</v>
      </c>
      <c r="C73">
        <v>0.71257069031353248</v>
      </c>
      <c r="D73">
        <v>0.75803663292454426</v>
      </c>
      <c r="E73">
        <v>0.34012970204319698</v>
      </c>
      <c r="F73">
        <v>0.526244115890383</v>
      </c>
      <c r="G73">
        <v>1.0237771562799645</v>
      </c>
      <c r="H73">
        <v>0.7847449288809023</v>
      </c>
    </row>
    <row r="74" spans="1:8">
      <c r="A74" t="s">
        <v>228</v>
      </c>
      <c r="B74">
        <v>0.38432849332373592</v>
      </c>
      <c r="C74">
        <v>0.64432711068140314</v>
      </c>
      <c r="D74">
        <v>0.64078890839761848</v>
      </c>
      <c r="E74">
        <v>0.23656553554082416</v>
      </c>
      <c r="F74">
        <v>0.43467627651013996</v>
      </c>
      <c r="G74">
        <v>1.2416888038476988</v>
      </c>
      <c r="H74">
        <v>1.5307085945356818</v>
      </c>
    </row>
    <row r="75" spans="1:8">
      <c r="A75" t="s">
        <v>229</v>
      </c>
      <c r="B75">
        <v>0.67307511168381817</v>
      </c>
      <c r="C75">
        <v>0.64108169853457853</v>
      </c>
      <c r="D75">
        <v>0.58647516749781048</v>
      </c>
      <c r="E75">
        <v>0.31692287394756968</v>
      </c>
      <c r="F75">
        <v>0.64819433791843772</v>
      </c>
      <c r="G75">
        <v>0.95978463656419311</v>
      </c>
      <c r="H75">
        <v>1.747837659257548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96"/>
  <sheetViews>
    <sheetView topLeftCell="A15" workbookViewId="0">
      <selection activeCell="E101" sqref="E101"/>
    </sheetView>
  </sheetViews>
  <sheetFormatPr baseColWidth="10" defaultRowHeight="16"/>
  <cols>
    <col min="3" max="3" width="23.83203125" customWidth="1"/>
  </cols>
  <sheetData>
    <row r="2" spans="1:8">
      <c r="A2" s="1" t="s">
        <v>443</v>
      </c>
    </row>
    <row r="3" spans="1:8">
      <c r="B3" s="4"/>
      <c r="C3" s="4" t="s">
        <v>441</v>
      </c>
      <c r="D3" s="4" t="s">
        <v>65</v>
      </c>
      <c r="E3" s="4" t="s">
        <v>66</v>
      </c>
      <c r="F3" s="4" t="s">
        <v>442</v>
      </c>
    </row>
    <row r="4" spans="1:8">
      <c r="B4" s="3" t="s">
        <v>43</v>
      </c>
      <c r="C4" s="5">
        <v>1.1200000000000001</v>
      </c>
      <c r="D4">
        <f>AVERAGE(C4:C10)</f>
        <v>1.0607142857142857</v>
      </c>
      <c r="E4" s="5">
        <f>STDEV(C4:C10)</f>
        <v>0.10584692451163345</v>
      </c>
      <c r="F4">
        <v>1.1339999999999999</v>
      </c>
      <c r="G4">
        <f>AVERAGE(F4:F10)</f>
        <v>1.0045328571428571</v>
      </c>
      <c r="H4">
        <f>STDEV(F4:F10)</f>
        <v>0.14749789452896042</v>
      </c>
    </row>
    <row r="5" spans="1:8">
      <c r="B5" s="3" t="s">
        <v>44</v>
      </c>
      <c r="C5" s="5">
        <v>1.085</v>
      </c>
      <c r="D5" s="5"/>
      <c r="F5">
        <v>1.1180000000000001</v>
      </c>
    </row>
    <row r="6" spans="1:8">
      <c r="B6" s="3" t="s">
        <v>45</v>
      </c>
      <c r="C6" s="6">
        <v>1.25</v>
      </c>
      <c r="D6" s="6"/>
      <c r="F6">
        <v>0.97460000000000002</v>
      </c>
    </row>
    <row r="7" spans="1:8">
      <c r="B7" s="3" t="s">
        <v>46</v>
      </c>
      <c r="C7" s="5">
        <v>0.98</v>
      </c>
      <c r="D7" s="5"/>
      <c r="F7">
        <v>1.2018</v>
      </c>
    </row>
    <row r="8" spans="1:8">
      <c r="B8" s="3" t="s">
        <v>47</v>
      </c>
      <c r="C8" s="5">
        <v>1</v>
      </c>
      <c r="D8" s="5"/>
      <c r="F8">
        <v>0.92352999999999996</v>
      </c>
    </row>
    <row r="9" spans="1:8">
      <c r="B9" s="3" t="s">
        <v>48</v>
      </c>
      <c r="C9" s="5">
        <v>1.06</v>
      </c>
      <c r="D9" s="5"/>
      <c r="F9">
        <v>0.85250000000000004</v>
      </c>
    </row>
    <row r="10" spans="1:8">
      <c r="B10" s="3" t="s">
        <v>49</v>
      </c>
      <c r="C10" s="5">
        <v>0.93</v>
      </c>
      <c r="D10" s="5"/>
      <c r="F10">
        <v>0.82730000000000004</v>
      </c>
    </row>
    <row r="11" spans="1:8">
      <c r="B11" s="3" t="s">
        <v>50</v>
      </c>
      <c r="C11" s="5">
        <v>0.76183414306566077</v>
      </c>
      <c r="D11">
        <f>AVERAGE(C11:C17)</f>
        <v>0.66284428247954053</v>
      </c>
      <c r="E11" s="5">
        <f>STDEV(C11:C17)</f>
        <v>0.18270899545732305</v>
      </c>
      <c r="F11">
        <v>1.5637000000000001</v>
      </c>
      <c r="G11">
        <f>AVERAGE(F11:F17)</f>
        <v>1.0460085714285714</v>
      </c>
      <c r="H11">
        <f>STDEV(F11:F17)</f>
        <v>0.57335665434435523</v>
      </c>
    </row>
    <row r="12" spans="1:8">
      <c r="B12" s="3" t="s">
        <v>51</v>
      </c>
      <c r="C12" s="5">
        <v>0.56662784966211976</v>
      </c>
      <c r="D12" s="5"/>
      <c r="F12">
        <v>1.3147500000000001</v>
      </c>
    </row>
    <row r="13" spans="1:8">
      <c r="B13" s="3" t="s">
        <v>52</v>
      </c>
      <c r="C13" s="5">
        <v>0.6440253052678685</v>
      </c>
      <c r="D13" s="5"/>
      <c r="F13">
        <v>0.46639999999999998</v>
      </c>
    </row>
    <row r="14" spans="1:8">
      <c r="B14" s="3" t="s">
        <v>53</v>
      </c>
      <c r="C14" s="5">
        <v>0.31929735517313668</v>
      </c>
      <c r="D14" s="5"/>
      <c r="F14">
        <v>1.5485</v>
      </c>
    </row>
    <row r="15" spans="1:8">
      <c r="B15" s="3" t="s">
        <v>54</v>
      </c>
      <c r="C15" s="5">
        <v>0.87233630651364258</v>
      </c>
      <c r="D15" s="5"/>
      <c r="F15">
        <v>1.5737000000000001</v>
      </c>
    </row>
    <row r="16" spans="1:8">
      <c r="B16" s="3" t="s">
        <v>55</v>
      </c>
      <c r="C16" s="5">
        <v>0.79997607386111513</v>
      </c>
      <c r="D16" s="5"/>
      <c r="F16">
        <v>0.43763999999999997</v>
      </c>
    </row>
    <row r="17" spans="2:8">
      <c r="B17" s="3" t="s">
        <v>56</v>
      </c>
      <c r="C17" s="5">
        <v>0.6758129438132392</v>
      </c>
      <c r="D17" s="5"/>
      <c r="F17">
        <v>0.41737000000000002</v>
      </c>
    </row>
    <row r="18" spans="2:8">
      <c r="B18" s="3" t="s">
        <v>57</v>
      </c>
      <c r="C18" s="5">
        <v>0.19739412320888827</v>
      </c>
      <c r="D18">
        <f>AVERAGE(C18:C25)</f>
        <v>0.31833756978107175</v>
      </c>
      <c r="E18" s="5">
        <f>STDEV(C18:C25)</f>
        <v>0.21662271574262237</v>
      </c>
      <c r="F18">
        <v>1.2736400000000001</v>
      </c>
      <c r="G18">
        <f>AVERAGE(F18:F25)</f>
        <v>0.95070041875000011</v>
      </c>
      <c r="H18">
        <f>STDEV(F18:F25)</f>
        <v>0.31477830764090764</v>
      </c>
    </row>
    <row r="19" spans="2:8">
      <c r="B19" s="3" t="s">
        <v>58</v>
      </c>
      <c r="C19" s="5">
        <v>0.15222544045043282</v>
      </c>
      <c r="D19" s="5"/>
      <c r="E19" s="5"/>
      <c r="F19">
        <v>0.57930000000000004</v>
      </c>
    </row>
    <row r="20" spans="2:8">
      <c r="B20" s="3" t="s">
        <v>59</v>
      </c>
      <c r="C20" s="5">
        <v>0.23167814579389351</v>
      </c>
      <c r="D20" s="5"/>
      <c r="E20" s="5"/>
      <c r="F20">
        <v>1.1645000000000001</v>
      </c>
    </row>
    <row r="21" spans="2:8">
      <c r="B21" s="3" t="s">
        <v>60</v>
      </c>
      <c r="C21" s="5">
        <v>0.12043033023723608</v>
      </c>
      <c r="D21" s="5"/>
      <c r="E21" s="5"/>
      <c r="F21">
        <v>1.4128339999999999</v>
      </c>
    </row>
    <row r="22" spans="2:8">
      <c r="B22" s="3" t="s">
        <v>61</v>
      </c>
      <c r="C22" s="5">
        <v>0.78861296271127601</v>
      </c>
      <c r="D22" s="5"/>
      <c r="E22" s="5"/>
      <c r="F22">
        <v>1.0236430000000001</v>
      </c>
    </row>
    <row r="23" spans="2:8">
      <c r="B23" s="3" t="s">
        <v>62</v>
      </c>
      <c r="C23" s="6">
        <v>0.39991675797871323</v>
      </c>
      <c r="D23" s="6"/>
      <c r="E23" s="6"/>
      <c r="F23">
        <v>0.78263000000000005</v>
      </c>
    </row>
    <row r="24" spans="2:8">
      <c r="B24" s="3" t="s">
        <v>63</v>
      </c>
      <c r="C24" s="6">
        <v>0.25216014230265449</v>
      </c>
      <c r="D24" s="6"/>
      <c r="E24" s="6"/>
      <c r="F24">
        <v>0.77625635000000004</v>
      </c>
    </row>
    <row r="25" spans="2:8">
      <c r="B25" s="3" t="s">
        <v>64</v>
      </c>
      <c r="C25" s="6">
        <v>0.40428265556547965</v>
      </c>
      <c r="D25" s="6"/>
      <c r="E25" s="6"/>
      <c r="F25">
        <v>0.59279999999999999</v>
      </c>
    </row>
    <row r="28" spans="2:8">
      <c r="C28" t="s">
        <v>42</v>
      </c>
      <c r="D28" t="s">
        <v>68</v>
      </c>
      <c r="E28" t="s">
        <v>66</v>
      </c>
      <c r="F28" t="s">
        <v>32</v>
      </c>
    </row>
    <row r="29" spans="2:8">
      <c r="C29" t="s">
        <v>2</v>
      </c>
      <c r="D29">
        <v>1.0607142857142899</v>
      </c>
      <c r="E29">
        <v>0.10584692451163345</v>
      </c>
      <c r="F29" s="7">
        <f>E29/SQRT(7)</f>
        <v>4.0006377042686996E-2</v>
      </c>
    </row>
    <row r="30" spans="2:8">
      <c r="C30" t="s">
        <v>29</v>
      </c>
      <c r="D30">
        <v>0.66284428247954053</v>
      </c>
      <c r="E30">
        <v>0.18270899545732305</v>
      </c>
      <c r="F30" s="7">
        <f>E30/SQRT(7)</f>
        <v>6.9057509182072402E-2</v>
      </c>
    </row>
    <row r="31" spans="2:8">
      <c r="C31" t="s">
        <v>5</v>
      </c>
      <c r="D31">
        <v>0.31833756978107175</v>
      </c>
      <c r="E31">
        <v>0.21662271574262237</v>
      </c>
      <c r="F31" s="7">
        <f>E31/SQRT(8)</f>
        <v>7.6587695630327079E-2</v>
      </c>
    </row>
    <row r="33" spans="1:11">
      <c r="C33" t="s">
        <v>67</v>
      </c>
    </row>
    <row r="34" spans="1:11">
      <c r="C34" t="s">
        <v>2</v>
      </c>
      <c r="D34">
        <v>1.0045328571428571</v>
      </c>
      <c r="E34">
        <v>0.14749789452896042</v>
      </c>
      <c r="F34" s="7">
        <f>E34/SQRT(7)</f>
        <v>5.5748963975609106E-2</v>
      </c>
    </row>
    <row r="35" spans="1:11">
      <c r="C35" t="s">
        <v>29</v>
      </c>
      <c r="D35">
        <v>1.046</v>
      </c>
      <c r="E35">
        <v>0.57335665000000002</v>
      </c>
      <c r="F35" s="7">
        <f>E35/SQRT(7)</f>
        <v>0.21670844406358594</v>
      </c>
    </row>
    <row r="36" spans="1:11">
      <c r="C36" t="s">
        <v>5</v>
      </c>
      <c r="D36">
        <v>0.95070041875000011</v>
      </c>
      <c r="E36">
        <v>0.31477830764090764</v>
      </c>
      <c r="F36" s="7">
        <f>E36/SQRT(8)</f>
        <v>0.1112909379516555</v>
      </c>
    </row>
    <row r="38" spans="1:11">
      <c r="A38" s="1" t="s">
        <v>444</v>
      </c>
    </row>
    <row r="39" spans="1:11">
      <c r="A39" s="1" t="s">
        <v>1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</v>
      </c>
      <c r="B40" s="1" t="s">
        <v>3</v>
      </c>
      <c r="C40" s="1" t="s">
        <v>24</v>
      </c>
      <c r="D40" s="1" t="s">
        <v>25</v>
      </c>
      <c r="E40" s="1"/>
      <c r="F40" s="1"/>
      <c r="G40" s="1"/>
      <c r="H40" s="1"/>
      <c r="I40" s="1"/>
      <c r="J40" s="1"/>
      <c r="K40" s="1"/>
    </row>
    <row r="41" spans="1:11">
      <c r="A41">
        <v>1</v>
      </c>
      <c r="B41">
        <v>28329.338</v>
      </c>
      <c r="C41">
        <v>24685.422939495988</v>
      </c>
      <c r="D41">
        <v>24764.070286679515</v>
      </c>
    </row>
    <row r="42" spans="1:11">
      <c r="A42">
        <v>2</v>
      </c>
      <c r="B42">
        <v>29034.852999999999</v>
      </c>
      <c r="C42">
        <v>24702.370758223162</v>
      </c>
      <c r="D42">
        <v>24753.607146202263</v>
      </c>
    </row>
    <row r="43" spans="1:11">
      <c r="A43">
        <v>3</v>
      </c>
      <c r="B43">
        <v>31900.681</v>
      </c>
      <c r="C43">
        <v>20957.679524774663</v>
      </c>
      <c r="D43">
        <v>21108.928066150955</v>
      </c>
    </row>
    <row r="44" spans="1:11">
      <c r="A44">
        <v>4</v>
      </c>
      <c r="B44">
        <v>27250.387999999999</v>
      </c>
      <c r="C44">
        <v>20462.418132407405</v>
      </c>
      <c r="D44">
        <v>21803.086617038152</v>
      </c>
    </row>
    <row r="45" spans="1:11">
      <c r="A45">
        <v>5</v>
      </c>
      <c r="B45">
        <v>29830.438999999998</v>
      </c>
      <c r="C45">
        <v>25975.345602394529</v>
      </c>
      <c r="D45">
        <v>26418.639917005996</v>
      </c>
    </row>
    <row r="46" spans="1:11">
      <c r="A46">
        <v>6</v>
      </c>
      <c r="B46">
        <v>28260.973999999998</v>
      </c>
      <c r="C46">
        <v>23075.863983566793</v>
      </c>
      <c r="D46">
        <v>23548.030023668642</v>
      </c>
    </row>
    <row r="47" spans="1:11">
      <c r="A47">
        <v>7</v>
      </c>
      <c r="B47">
        <v>24652.589</v>
      </c>
      <c r="C47">
        <v>21896.521958056645</v>
      </c>
      <c r="D47">
        <v>22743.570963434315</v>
      </c>
    </row>
    <row r="48" spans="1:11">
      <c r="A48">
        <v>8</v>
      </c>
      <c r="B48">
        <v>23774.811000000002</v>
      </c>
      <c r="C48">
        <v>15405.030566454036</v>
      </c>
      <c r="D48">
        <v>15534.895468694591</v>
      </c>
    </row>
    <row r="50" spans="1:11">
      <c r="A50" s="1" t="s">
        <v>6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>
        <v>1</v>
      </c>
      <c r="B51">
        <v>8890.7309999999998</v>
      </c>
      <c r="C51">
        <v>8890.7309999999998</v>
      </c>
      <c r="D51">
        <v>12287.371999999999</v>
      </c>
    </row>
    <row r="52" spans="1:11">
      <c r="A52">
        <v>2</v>
      </c>
      <c r="B52">
        <v>11855.581</v>
      </c>
      <c r="C52">
        <v>10782.179248266462</v>
      </c>
      <c r="D52">
        <v>13232.697243665307</v>
      </c>
    </row>
    <row r="53" spans="1:11">
      <c r="A53">
        <v>3</v>
      </c>
      <c r="B53">
        <v>9014.4590000000007</v>
      </c>
      <c r="C53">
        <v>8945.203677178617</v>
      </c>
      <c r="D53">
        <v>12357.659054079035</v>
      </c>
    </row>
    <row r="54" spans="1:11">
      <c r="A54">
        <v>4</v>
      </c>
      <c r="B54">
        <v>7487.1670000000004</v>
      </c>
      <c r="C54">
        <v>6061.506494383987</v>
      </c>
      <c r="D54">
        <v>8655.4061797378727</v>
      </c>
    </row>
    <row r="55" spans="1:11">
      <c r="A55">
        <v>5</v>
      </c>
      <c r="B55">
        <v>10631.388000000001</v>
      </c>
      <c r="C55">
        <v>7647.3914286635554</v>
      </c>
      <c r="D55">
        <v>9669.298431272282</v>
      </c>
    </row>
    <row r="56" spans="1:11">
      <c r="A56">
        <v>6</v>
      </c>
      <c r="B56">
        <v>7777.7110000000002</v>
      </c>
      <c r="C56">
        <v>6360.3416119845679</v>
      </c>
      <c r="D56">
        <v>8185.0836432737633</v>
      </c>
    </row>
    <row r="57" spans="1:11">
      <c r="A57">
        <v>7</v>
      </c>
      <c r="B57">
        <v>14142.245999999999</v>
      </c>
      <c r="C57">
        <v>11608.800222088001</v>
      </c>
      <c r="D57">
        <v>15361.619045020741</v>
      </c>
    </row>
    <row r="58" spans="1:11">
      <c r="A58">
        <v>8</v>
      </c>
      <c r="B58">
        <v>10876.703</v>
      </c>
      <c r="C58">
        <v>7994.2308322174758</v>
      </c>
      <c r="D58">
        <v>8905.9456809225485</v>
      </c>
    </row>
    <row r="60" spans="1:11">
      <c r="A60" s="1" t="s">
        <v>36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>
        <v>1</v>
      </c>
      <c r="B61">
        <v>17904.719000000001</v>
      </c>
      <c r="C61">
        <v>17904.721757645588</v>
      </c>
      <c r="D61">
        <v>20880.151415914672</v>
      </c>
    </row>
    <row r="62" spans="1:11">
      <c r="A62">
        <v>2</v>
      </c>
      <c r="B62">
        <v>24245.841</v>
      </c>
      <c r="C62">
        <v>14859.50751642353</v>
      </c>
      <c r="D62">
        <v>17393.906605191984</v>
      </c>
    </row>
    <row r="63" spans="1:11">
      <c r="A63">
        <v>3</v>
      </c>
      <c r="B63">
        <v>21176.912</v>
      </c>
      <c r="C63">
        <v>13757.438532625662</v>
      </c>
      <c r="D63">
        <v>16899.59818953932</v>
      </c>
    </row>
    <row r="64" spans="1:11">
      <c r="A64">
        <v>4</v>
      </c>
      <c r="B64">
        <v>24772.234</v>
      </c>
      <c r="C64">
        <v>15247.05615740583</v>
      </c>
      <c r="D64">
        <v>17584.806132332065</v>
      </c>
    </row>
    <row r="65" spans="1:11">
      <c r="A65">
        <v>5</v>
      </c>
      <c r="B65">
        <v>19015.891</v>
      </c>
      <c r="C65">
        <v>12707.894108958619</v>
      </c>
      <c r="D65">
        <v>14841.117756426793</v>
      </c>
    </row>
    <row r="69" spans="1:11">
      <c r="A69" s="1" t="s">
        <v>7</v>
      </c>
      <c r="B69" s="1" t="s">
        <v>3</v>
      </c>
      <c r="C69" s="1" t="s">
        <v>26</v>
      </c>
      <c r="D69" s="1"/>
      <c r="E69" s="1"/>
      <c r="F69" s="1"/>
      <c r="G69" s="1"/>
      <c r="H69" s="1"/>
      <c r="I69" s="1"/>
      <c r="J69" s="1"/>
      <c r="K69" s="1"/>
    </row>
    <row r="70" spans="1:11">
      <c r="A70" t="s">
        <v>8</v>
      </c>
      <c r="B70">
        <v>4377.9409999999998</v>
      </c>
      <c r="C70">
        <v>1.147614042078001</v>
      </c>
    </row>
    <row r="71" spans="1:11">
      <c r="A71" t="s">
        <v>9</v>
      </c>
      <c r="B71">
        <v>4483.8909999999996</v>
      </c>
      <c r="C71">
        <v>1.1753873052988082</v>
      </c>
    </row>
    <row r="72" spans="1:11">
      <c r="A72" t="s">
        <v>10</v>
      </c>
      <c r="B72">
        <v>5806.7190000000001</v>
      </c>
      <c r="C72">
        <v>1.5221475718382518</v>
      </c>
    </row>
    <row r="73" spans="1:11">
      <c r="A73" t="s">
        <v>11</v>
      </c>
      <c r="B73">
        <v>5080.3050000000003</v>
      </c>
      <c r="C73">
        <v>1.3317286267766237</v>
      </c>
    </row>
    <row r="74" spans="1:11">
      <c r="A74" t="s">
        <v>12</v>
      </c>
      <c r="B74">
        <v>4380.991</v>
      </c>
      <c r="C74">
        <v>1.1484135555543904</v>
      </c>
    </row>
    <row r="75" spans="1:11">
      <c r="A75" t="s">
        <v>13</v>
      </c>
      <c r="B75">
        <v>4672.0039999999999</v>
      </c>
      <c r="C75">
        <v>1.2246984130312832</v>
      </c>
    </row>
    <row r="76" spans="1:11">
      <c r="A76" t="s">
        <v>14</v>
      </c>
      <c r="B76">
        <v>4294.9830000000002</v>
      </c>
      <c r="C76">
        <v>1.12586779979134</v>
      </c>
    </row>
    <row r="77" spans="1:11">
      <c r="A77" t="s">
        <v>15</v>
      </c>
      <c r="B77">
        <v>5887.4679999999998</v>
      </c>
      <c r="C77">
        <v>1.543314756659554</v>
      </c>
    </row>
    <row r="78" spans="1:11">
      <c r="A78" t="s">
        <v>16</v>
      </c>
      <c r="B78">
        <v>3814.82</v>
      </c>
      <c r="C78">
        <v>1</v>
      </c>
    </row>
    <row r="79" spans="1:11">
      <c r="A79" t="s">
        <v>17</v>
      </c>
      <c r="B79">
        <v>4194.598</v>
      </c>
      <c r="C79">
        <v>1.099553320995486</v>
      </c>
    </row>
    <row r="80" spans="1:11">
      <c r="A80" t="s">
        <v>18</v>
      </c>
      <c r="B80">
        <v>3844.355</v>
      </c>
      <c r="C80">
        <v>1.0077421739426762</v>
      </c>
    </row>
    <row r="81" spans="1:7">
      <c r="A81" t="s">
        <v>19</v>
      </c>
      <c r="B81">
        <v>4712.0619999999999</v>
      </c>
      <c r="C81">
        <v>1.2351990395352861</v>
      </c>
    </row>
    <row r="82" spans="1:7">
      <c r="A82" t="s">
        <v>20</v>
      </c>
      <c r="B82">
        <v>5303.3549999999996</v>
      </c>
      <c r="C82">
        <v>1.3901979647794651</v>
      </c>
    </row>
    <row r="83" spans="1:7">
      <c r="A83" t="s">
        <v>21</v>
      </c>
      <c r="B83">
        <v>4664.933</v>
      </c>
      <c r="C83">
        <v>1.2228448524438897</v>
      </c>
    </row>
    <row r="84" spans="1:7">
      <c r="A84" t="s">
        <v>22</v>
      </c>
      <c r="B84">
        <v>4647.3469999999998</v>
      </c>
      <c r="C84">
        <v>1.218234936379698</v>
      </c>
    </row>
    <row r="85" spans="1:7">
      <c r="A85" t="s">
        <v>23</v>
      </c>
      <c r="B85">
        <v>5190.326</v>
      </c>
      <c r="C85">
        <v>1.3605690438867364</v>
      </c>
    </row>
    <row r="87" spans="1:7">
      <c r="A87" t="s">
        <v>37</v>
      </c>
      <c r="B87">
        <v>19478.267</v>
      </c>
      <c r="C87">
        <f>B87/19478.27</f>
        <v>0.99999984598221503</v>
      </c>
    </row>
    <row r="88" spans="1:7">
      <c r="A88" t="s">
        <v>38</v>
      </c>
      <c r="B88">
        <v>31782.146000000001</v>
      </c>
      <c r="C88">
        <f>B88/19478.27</f>
        <v>1.6316719092609353</v>
      </c>
    </row>
    <row r="89" spans="1:7">
      <c r="A89" t="s">
        <v>39</v>
      </c>
      <c r="B89">
        <v>29983.024000000001</v>
      </c>
      <c r="C89">
        <f>B89/19478.27</f>
        <v>1.539306314164451</v>
      </c>
    </row>
    <row r="90" spans="1:7">
      <c r="A90" t="s">
        <v>40</v>
      </c>
      <c r="B90">
        <v>31646.781999999999</v>
      </c>
      <c r="C90">
        <f>B90/19478.27</f>
        <v>1.6247224214470792</v>
      </c>
    </row>
    <row r="91" spans="1:7">
      <c r="A91" t="s">
        <v>41</v>
      </c>
      <c r="B91">
        <v>29146.973999999998</v>
      </c>
      <c r="C91">
        <f>B91/19478.27</f>
        <v>1.4963841244627987</v>
      </c>
    </row>
    <row r="93" spans="1:7">
      <c r="C93" s="1" t="s">
        <v>31</v>
      </c>
      <c r="D93" s="1" t="s">
        <v>33</v>
      </c>
      <c r="E93" s="1" t="s">
        <v>32</v>
      </c>
      <c r="F93" s="1" t="s">
        <v>34</v>
      </c>
      <c r="G93" s="1" t="s">
        <v>35</v>
      </c>
    </row>
    <row r="94" spans="1:7">
      <c r="A94" s="1" t="s">
        <v>28</v>
      </c>
      <c r="B94" s="1" t="s">
        <v>2</v>
      </c>
      <c r="C94">
        <v>22145.081683171698</v>
      </c>
      <c r="D94">
        <v>3343.6868017492211</v>
      </c>
      <c r="E94">
        <v>1182.1718058404167</v>
      </c>
      <c r="F94">
        <v>1.0000000760065699</v>
      </c>
      <c r="G94">
        <v>5.338304516580733E-2</v>
      </c>
    </row>
    <row r="95" spans="1:7">
      <c r="A95" s="1"/>
      <c r="B95" s="1" t="s">
        <v>29</v>
      </c>
      <c r="C95">
        <v>14895.323614611847</v>
      </c>
      <c r="D95">
        <v>1953.2732822018143</v>
      </c>
      <c r="E95">
        <v>873.53036752747732</v>
      </c>
      <c r="F95">
        <v>0.67262451138636004</v>
      </c>
      <c r="G95">
        <v>3.9445798684289116E-2</v>
      </c>
    </row>
    <row r="96" spans="1:7">
      <c r="A96" s="1"/>
      <c r="B96" s="1" t="s">
        <v>5</v>
      </c>
      <c r="C96">
        <v>8536.2980643478331</v>
      </c>
      <c r="D96">
        <v>1953.7674227771079</v>
      </c>
      <c r="E96">
        <v>690.76109675352859</v>
      </c>
      <c r="F96">
        <v>0.385471538795427</v>
      </c>
      <c r="G96">
        <v>3.1192531106391513E-2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0"/>
  <sheetViews>
    <sheetView view="pageLayout" topLeftCell="H1" workbookViewId="0">
      <selection activeCell="B35" sqref="B35:G35"/>
    </sheetView>
  </sheetViews>
  <sheetFormatPr baseColWidth="10" defaultRowHeight="16"/>
  <cols>
    <col min="1" max="1" width="16" customWidth="1"/>
  </cols>
  <sheetData>
    <row r="1" spans="1:7">
      <c r="A1" s="1" t="s">
        <v>122</v>
      </c>
    </row>
    <row r="3" spans="1:7">
      <c r="C3" s="64" t="s">
        <v>445</v>
      </c>
      <c r="D3" s="64"/>
      <c r="E3" s="64"/>
      <c r="F3" s="64"/>
      <c r="G3" s="64"/>
    </row>
    <row r="4" spans="1:7">
      <c r="B4" s="1" t="s">
        <v>123</v>
      </c>
      <c r="C4" s="1" t="s">
        <v>127</v>
      </c>
      <c r="D4" s="1" t="s">
        <v>67</v>
      </c>
      <c r="E4" s="1" t="s">
        <v>42</v>
      </c>
      <c r="F4" s="1" t="s">
        <v>120</v>
      </c>
      <c r="G4" s="1" t="s">
        <v>128</v>
      </c>
    </row>
    <row r="5" spans="1:7">
      <c r="B5" t="s">
        <v>124</v>
      </c>
      <c r="C5">
        <v>3425</v>
      </c>
      <c r="D5" s="41">
        <v>3558</v>
      </c>
      <c r="E5" s="42">
        <v>5284</v>
      </c>
      <c r="F5" s="42">
        <v>3468</v>
      </c>
      <c r="G5" s="42">
        <v>3669</v>
      </c>
    </row>
    <row r="6" spans="1:7">
      <c r="B6" t="s">
        <v>125</v>
      </c>
      <c r="C6">
        <v>3124</v>
      </c>
      <c r="D6" s="42">
        <v>2665</v>
      </c>
      <c r="E6" s="42">
        <v>2922</v>
      </c>
      <c r="F6" s="42">
        <v>2168</v>
      </c>
      <c r="G6" s="42">
        <v>2947</v>
      </c>
    </row>
    <row r="7" spans="1:7">
      <c r="B7" t="s">
        <v>126</v>
      </c>
      <c r="C7">
        <v>2711</v>
      </c>
      <c r="D7" s="42">
        <v>2717</v>
      </c>
      <c r="E7" s="42">
        <v>2832</v>
      </c>
      <c r="F7" s="42">
        <v>2171</v>
      </c>
      <c r="G7" s="43">
        <v>4243</v>
      </c>
    </row>
    <row r="9" spans="1:7">
      <c r="B9" s="1" t="s">
        <v>129</v>
      </c>
    </row>
    <row r="10" spans="1:7">
      <c r="B10" t="s">
        <v>124</v>
      </c>
      <c r="C10">
        <v>211</v>
      </c>
      <c r="D10" s="44">
        <v>833</v>
      </c>
      <c r="E10" s="45">
        <v>629</v>
      </c>
      <c r="F10" s="45">
        <v>810</v>
      </c>
      <c r="G10" s="45">
        <v>564</v>
      </c>
    </row>
    <row r="11" spans="1:7">
      <c r="B11" t="s">
        <v>125</v>
      </c>
      <c r="C11">
        <v>201</v>
      </c>
      <c r="D11" s="45">
        <v>580</v>
      </c>
      <c r="E11" s="45">
        <v>785</v>
      </c>
      <c r="F11" s="45">
        <v>603</v>
      </c>
      <c r="G11" s="45">
        <v>787</v>
      </c>
    </row>
    <row r="12" spans="1:7">
      <c r="B12" t="s">
        <v>126</v>
      </c>
      <c r="C12">
        <v>148</v>
      </c>
      <c r="D12" s="45">
        <v>390</v>
      </c>
      <c r="E12" s="45">
        <v>822</v>
      </c>
      <c r="F12" s="45">
        <v>636</v>
      </c>
      <c r="G12" s="46">
        <v>697</v>
      </c>
    </row>
    <row r="14" spans="1:7">
      <c r="B14" s="1" t="s">
        <v>130</v>
      </c>
    </row>
    <row r="15" spans="1:7">
      <c r="B15" t="s">
        <v>124</v>
      </c>
      <c r="C15">
        <v>412</v>
      </c>
      <c r="D15" s="44">
        <v>1429</v>
      </c>
      <c r="E15" s="45">
        <v>3189</v>
      </c>
      <c r="F15" s="45">
        <v>1555</v>
      </c>
      <c r="G15" s="45">
        <v>2397</v>
      </c>
    </row>
    <row r="16" spans="1:7">
      <c r="B16" t="s">
        <v>125</v>
      </c>
      <c r="C16">
        <v>506</v>
      </c>
      <c r="D16" s="45">
        <v>1427</v>
      </c>
      <c r="E16" s="45">
        <v>2151</v>
      </c>
      <c r="F16" s="45">
        <v>1538</v>
      </c>
      <c r="G16" s="45">
        <v>2154</v>
      </c>
    </row>
    <row r="17" spans="1:7">
      <c r="B17" t="s">
        <v>126</v>
      </c>
      <c r="C17">
        <v>482</v>
      </c>
      <c r="D17" s="45">
        <v>1476</v>
      </c>
      <c r="E17" s="45">
        <v>2386</v>
      </c>
      <c r="F17" s="45">
        <v>1630</v>
      </c>
      <c r="G17" s="46">
        <v>2614</v>
      </c>
    </row>
    <row r="20" spans="1:7">
      <c r="A20" s="1" t="s">
        <v>131</v>
      </c>
      <c r="B20" s="1" t="s">
        <v>123</v>
      </c>
      <c r="C20" s="1" t="s">
        <v>127</v>
      </c>
      <c r="D20" s="1" t="s">
        <v>67</v>
      </c>
      <c r="E20" s="1" t="s">
        <v>42</v>
      </c>
      <c r="F20" s="1" t="s">
        <v>120</v>
      </c>
      <c r="G20" s="1" t="s">
        <v>128</v>
      </c>
    </row>
    <row r="21" spans="1:7">
      <c r="B21" t="s">
        <v>124</v>
      </c>
      <c r="C21">
        <v>1</v>
      </c>
      <c r="D21">
        <v>1</v>
      </c>
      <c r="E21">
        <v>1</v>
      </c>
      <c r="F21">
        <v>1</v>
      </c>
      <c r="G21">
        <v>0.86471835965119004</v>
      </c>
    </row>
    <row r="22" spans="1:7">
      <c r="B22" t="s">
        <v>125</v>
      </c>
      <c r="C22">
        <v>0.91211678832116794</v>
      </c>
      <c r="D22">
        <v>0.74901630129286112</v>
      </c>
      <c r="E22">
        <v>0.55299015897047687</v>
      </c>
      <c r="F22">
        <v>0.62514417531718569</v>
      </c>
      <c r="G22">
        <v>0.69455573886401134</v>
      </c>
    </row>
    <row r="23" spans="1:7">
      <c r="B23" t="s">
        <v>126</v>
      </c>
      <c r="C23">
        <v>0.79153284671532842</v>
      </c>
      <c r="D23">
        <v>0.76363125351320971</v>
      </c>
      <c r="E23">
        <v>0.53595760787282365</v>
      </c>
      <c r="F23">
        <v>0.62600922722029984</v>
      </c>
      <c r="G23">
        <v>1</v>
      </c>
    </row>
    <row r="25" spans="1:7">
      <c r="B25" s="1" t="s">
        <v>129</v>
      </c>
    </row>
    <row r="26" spans="1:7">
      <c r="B26" t="s">
        <v>124</v>
      </c>
      <c r="C26">
        <v>6.1605839416058392E-2</v>
      </c>
      <c r="D26">
        <v>0.23412029229904441</v>
      </c>
      <c r="E26">
        <v>0.11903860711582134</v>
      </c>
      <c r="F26">
        <v>0.23356401384083045</v>
      </c>
      <c r="G26">
        <v>0.15372035977105478</v>
      </c>
    </row>
    <row r="27" spans="1:7">
      <c r="B27" t="s">
        <v>125</v>
      </c>
      <c r="C27">
        <v>6.4340588988476319E-2</v>
      </c>
      <c r="D27">
        <v>0.2176360225140713</v>
      </c>
      <c r="E27">
        <v>0.26865160848733743</v>
      </c>
      <c r="F27">
        <v>0.27813653136531363</v>
      </c>
      <c r="G27">
        <v>0.2670512385476756</v>
      </c>
    </row>
    <row r="28" spans="1:7">
      <c r="B28" t="s">
        <v>126</v>
      </c>
      <c r="C28">
        <v>5.4592401327923278E-2</v>
      </c>
      <c r="D28">
        <v>0.14354066985645933</v>
      </c>
      <c r="E28">
        <v>0.2902542372881356</v>
      </c>
      <c r="F28">
        <v>0.2929525564256103</v>
      </c>
      <c r="G28">
        <v>0.16427056328069761</v>
      </c>
    </row>
    <row r="30" spans="1:7">
      <c r="B30" s="1" t="s">
        <v>130</v>
      </c>
    </row>
    <row r="31" spans="1:7">
      <c r="B31" t="s">
        <v>124</v>
      </c>
      <c r="C31">
        <v>0.12029197080291971</v>
      </c>
      <c r="D31">
        <v>0.4016301292861158</v>
      </c>
      <c r="E31">
        <v>0.6035200605601817</v>
      </c>
      <c r="F31">
        <v>0.44838523644752021</v>
      </c>
      <c r="G31">
        <v>0.65331152902698286</v>
      </c>
    </row>
    <row r="32" spans="1:7">
      <c r="B32" t="s">
        <v>125</v>
      </c>
      <c r="C32">
        <v>0.1619718309859155</v>
      </c>
      <c r="D32">
        <v>0.5354596622889306</v>
      </c>
      <c r="E32">
        <v>0.73613963039014374</v>
      </c>
      <c r="F32">
        <v>0.70940959409594095</v>
      </c>
      <c r="G32">
        <v>0.73091279267051235</v>
      </c>
    </row>
    <row r="33" spans="1:7">
      <c r="B33" t="s">
        <v>126</v>
      </c>
      <c r="C33">
        <v>0.17779417189229066</v>
      </c>
      <c r="D33">
        <v>0.54324622745675377</v>
      </c>
      <c r="E33">
        <v>0.84251412429378536</v>
      </c>
      <c r="F33">
        <v>0.75080608014739747</v>
      </c>
      <c r="G33">
        <v>0.61607353287768085</v>
      </c>
    </row>
    <row r="34" spans="1:7">
      <c r="A34" s="1" t="s">
        <v>132</v>
      </c>
    </row>
    <row r="35" spans="1:7">
      <c r="B35" s="1" t="s">
        <v>133</v>
      </c>
      <c r="C35" s="1" t="s">
        <v>32</v>
      </c>
      <c r="D35" s="1" t="s">
        <v>134</v>
      </c>
      <c r="E35" s="1" t="s">
        <v>32</v>
      </c>
      <c r="F35" s="1" t="s">
        <v>130</v>
      </c>
      <c r="G35" s="1" t="s">
        <v>32</v>
      </c>
    </row>
    <row r="36" spans="1:7">
      <c r="A36" t="s">
        <v>127</v>
      </c>
      <c r="B36">
        <v>1</v>
      </c>
      <c r="C36">
        <v>6.0425573994792078E-2</v>
      </c>
      <c r="D36">
        <v>6.0179609910819332E-2</v>
      </c>
      <c r="E36">
        <v>2.903009278751418E-3</v>
      </c>
      <c r="F36">
        <v>0.15335265789370864</v>
      </c>
      <c r="G36">
        <v>1.714976570418851E-2</v>
      </c>
    </row>
    <row r="37" spans="1:7">
      <c r="A37" t="s">
        <v>135</v>
      </c>
      <c r="B37">
        <v>1</v>
      </c>
      <c r="C37">
        <v>8.8365603033186371E-2</v>
      </c>
      <c r="D37">
        <v>0.19501405386647597</v>
      </c>
      <c r="E37">
        <v>3.6147123818817094E-2</v>
      </c>
      <c r="F37">
        <v>0.66676595152505869</v>
      </c>
      <c r="G37">
        <v>3.3826912417033214E-2</v>
      </c>
    </row>
    <row r="38" spans="1:7">
      <c r="A38" t="s">
        <v>67</v>
      </c>
      <c r="B38">
        <v>1</v>
      </c>
      <c r="C38">
        <v>8.1334903728300947E-2</v>
      </c>
      <c r="D38">
        <v>0.19843232822319168</v>
      </c>
      <c r="E38">
        <v>2.78553011488148E-2</v>
      </c>
      <c r="F38">
        <v>0.49344533967726673</v>
      </c>
      <c r="G38">
        <v>4.5962601803555499E-2</v>
      </c>
    </row>
    <row r="39" spans="1:7">
      <c r="A39" t="s">
        <v>42</v>
      </c>
      <c r="B39">
        <v>1</v>
      </c>
      <c r="C39">
        <v>0.15192162589551206</v>
      </c>
      <c r="D39">
        <v>0.22598148429709811</v>
      </c>
      <c r="E39">
        <v>5.3833857461742157E-2</v>
      </c>
      <c r="F39">
        <v>0.72739127174803697</v>
      </c>
      <c r="G39">
        <v>6.913016938880201E-2</v>
      </c>
    </row>
    <row r="40" spans="1:7">
      <c r="A40" t="s">
        <v>120</v>
      </c>
      <c r="B40">
        <v>1</v>
      </c>
      <c r="C40">
        <v>0.12480801606596204</v>
      </c>
      <c r="D40">
        <v>0.26821770054391814</v>
      </c>
      <c r="E40">
        <v>1.7846915244505154E-2</v>
      </c>
      <c r="F40">
        <v>0.63620030356361956</v>
      </c>
      <c r="G40">
        <v>9.4664833036034332E-2</v>
      </c>
    </row>
  </sheetData>
  <mergeCells count="1">
    <mergeCell ref="C3:G3"/>
  </mergeCells>
  <phoneticPr fontId="13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Z43"/>
  <sheetViews>
    <sheetView topLeftCell="A42" workbookViewId="0">
      <selection activeCell="H32" sqref="H32"/>
    </sheetView>
  </sheetViews>
  <sheetFormatPr baseColWidth="10" defaultRowHeight="16"/>
  <sheetData>
    <row r="1" spans="1:104">
      <c r="A1" s="1" t="s">
        <v>111</v>
      </c>
      <c r="B1" s="1"/>
    </row>
    <row r="2" spans="1:104">
      <c r="B2" t="s">
        <v>115</v>
      </c>
    </row>
    <row r="3" spans="1:104">
      <c r="A3" t="s">
        <v>116</v>
      </c>
      <c r="B3" s="61">
        <v>0</v>
      </c>
      <c r="C3" s="39">
        <v>80</v>
      </c>
      <c r="D3" s="39">
        <v>160</v>
      </c>
      <c r="E3" s="39">
        <v>310</v>
      </c>
      <c r="F3" s="39">
        <v>390</v>
      </c>
      <c r="G3" s="39">
        <v>470</v>
      </c>
      <c r="H3" s="39">
        <v>550</v>
      </c>
      <c r="I3" s="39">
        <v>630</v>
      </c>
      <c r="J3" s="39">
        <v>710</v>
      </c>
      <c r="K3" s="39">
        <v>790</v>
      </c>
      <c r="L3" s="39">
        <v>870</v>
      </c>
      <c r="M3" s="39">
        <v>950</v>
      </c>
      <c r="N3" s="39">
        <v>1030</v>
      </c>
      <c r="O3" s="39">
        <v>1110</v>
      </c>
      <c r="P3" s="39">
        <v>1190</v>
      </c>
      <c r="Q3" s="39">
        <v>1270</v>
      </c>
      <c r="R3" s="39">
        <v>1350</v>
      </c>
      <c r="S3" s="39">
        <v>1430</v>
      </c>
      <c r="T3" s="39">
        <v>1510</v>
      </c>
      <c r="U3" s="39">
        <v>1590</v>
      </c>
      <c r="V3" s="39">
        <v>1670</v>
      </c>
      <c r="W3" s="39">
        <v>1750</v>
      </c>
      <c r="X3" s="39">
        <v>1830</v>
      </c>
      <c r="Y3" s="39">
        <v>1910</v>
      </c>
      <c r="Z3" s="39">
        <v>1990</v>
      </c>
      <c r="AA3" s="39">
        <v>2070</v>
      </c>
      <c r="AB3" s="39">
        <v>2150</v>
      </c>
      <c r="AC3" s="39">
        <v>2230</v>
      </c>
      <c r="AD3" s="39">
        <v>2310</v>
      </c>
      <c r="AE3" s="39">
        <v>2390</v>
      </c>
      <c r="AF3" s="39">
        <v>2470</v>
      </c>
      <c r="AG3" s="39">
        <v>2550</v>
      </c>
      <c r="AH3" s="39">
        <v>2630</v>
      </c>
      <c r="AI3" s="39">
        <v>2710</v>
      </c>
      <c r="AJ3" s="39">
        <v>2790</v>
      </c>
      <c r="AK3" s="39">
        <v>2870</v>
      </c>
      <c r="AL3" s="39">
        <v>2950</v>
      </c>
      <c r="AM3" s="39">
        <v>3030</v>
      </c>
      <c r="AN3" s="39">
        <v>3110</v>
      </c>
      <c r="AO3" s="39">
        <v>3190</v>
      </c>
      <c r="AP3" s="39">
        <v>3270</v>
      </c>
      <c r="AQ3" s="39">
        <v>3350</v>
      </c>
      <c r="AR3" s="39">
        <v>3430</v>
      </c>
      <c r="AS3" s="39">
        <v>3510</v>
      </c>
      <c r="AT3" s="39">
        <v>3590</v>
      </c>
      <c r="AU3" s="39">
        <v>3670</v>
      </c>
      <c r="AV3" s="39">
        <v>3750</v>
      </c>
      <c r="AW3" s="39">
        <v>3830</v>
      </c>
      <c r="AX3" s="39">
        <v>3910</v>
      </c>
      <c r="AY3" s="39">
        <v>3990</v>
      </c>
      <c r="AZ3" s="39">
        <v>4070</v>
      </c>
      <c r="BA3" s="39">
        <v>4150</v>
      </c>
      <c r="BB3" s="39">
        <v>4230</v>
      </c>
      <c r="BC3" s="39">
        <v>4310</v>
      </c>
      <c r="BD3" s="39">
        <v>4390</v>
      </c>
      <c r="BE3" s="39">
        <v>4470</v>
      </c>
      <c r="BF3" s="39">
        <v>4550</v>
      </c>
      <c r="BG3" s="39">
        <v>4630</v>
      </c>
      <c r="BH3" s="39">
        <v>4710</v>
      </c>
      <c r="BI3" s="39">
        <v>4790</v>
      </c>
      <c r="BJ3" s="39">
        <v>4870</v>
      </c>
      <c r="BK3" s="39">
        <v>4950</v>
      </c>
      <c r="BL3" s="39">
        <v>5030</v>
      </c>
      <c r="BM3" s="39">
        <v>5110</v>
      </c>
      <c r="BN3" s="39">
        <v>5230</v>
      </c>
      <c r="BO3" s="39">
        <v>5350</v>
      </c>
      <c r="BP3" s="39">
        <v>5470</v>
      </c>
      <c r="BQ3" s="39">
        <v>5590</v>
      </c>
      <c r="BR3" s="39">
        <v>5710</v>
      </c>
      <c r="BS3" s="39">
        <v>5830</v>
      </c>
      <c r="BT3" s="39">
        <v>5950</v>
      </c>
      <c r="BU3" s="39">
        <v>6070</v>
      </c>
      <c r="BV3" s="39">
        <v>6190</v>
      </c>
      <c r="BW3" s="39">
        <v>6310</v>
      </c>
      <c r="BX3" s="39">
        <v>6430</v>
      </c>
      <c r="BY3" s="39">
        <v>6550</v>
      </c>
      <c r="BZ3" s="39">
        <v>6670</v>
      </c>
      <c r="CA3" s="39">
        <v>6790</v>
      </c>
      <c r="CB3" s="39">
        <v>6910</v>
      </c>
      <c r="CC3" s="39">
        <v>7030</v>
      </c>
      <c r="CD3" s="39">
        <v>7150</v>
      </c>
      <c r="CE3" s="39">
        <v>7270</v>
      </c>
      <c r="CF3" s="39">
        <v>7390</v>
      </c>
      <c r="CG3" s="39">
        <v>7510</v>
      </c>
      <c r="CH3" s="39">
        <v>7630</v>
      </c>
      <c r="CI3" s="39">
        <v>7750</v>
      </c>
      <c r="CJ3" s="39">
        <v>7870</v>
      </c>
      <c r="CK3" s="39">
        <v>7990</v>
      </c>
      <c r="CL3" s="39">
        <v>8110</v>
      </c>
      <c r="CM3" s="39">
        <v>8230</v>
      </c>
      <c r="CN3" s="39">
        <v>8350</v>
      </c>
      <c r="CO3" s="39">
        <v>8470</v>
      </c>
      <c r="CP3" s="39">
        <v>8590</v>
      </c>
      <c r="CQ3" s="39">
        <v>8710</v>
      </c>
      <c r="CR3" s="39">
        <v>8830</v>
      </c>
      <c r="CS3" s="39">
        <v>8950</v>
      </c>
      <c r="CT3" s="39">
        <v>9070</v>
      </c>
      <c r="CU3" s="39">
        <v>9190</v>
      </c>
      <c r="CV3" s="39">
        <v>9310</v>
      </c>
      <c r="CW3" s="39">
        <v>9430</v>
      </c>
      <c r="CX3" s="39">
        <v>9550</v>
      </c>
      <c r="CY3" s="39">
        <v>9670</v>
      </c>
      <c r="CZ3" s="39">
        <v>9790</v>
      </c>
    </row>
    <row r="4" spans="1:104">
      <c r="A4" t="s">
        <v>112</v>
      </c>
      <c r="B4" s="62">
        <v>8.8200000000000001E-2</v>
      </c>
      <c r="C4" s="38">
        <v>8.8230000000000003E-2</v>
      </c>
      <c r="D4" s="38">
        <v>8.8999999999999996E-2</v>
      </c>
      <c r="E4" s="38">
        <v>0.09</v>
      </c>
      <c r="F4" s="38">
        <v>9.0200000000000002E-2</v>
      </c>
      <c r="G4" s="38">
        <v>9.1200000000000003E-2</v>
      </c>
      <c r="H4" s="38">
        <v>9.1399999999999995E-2</v>
      </c>
      <c r="I4" s="38">
        <v>9.1499999999999998E-2</v>
      </c>
      <c r="J4" s="38">
        <v>9.1800000000000007E-2</v>
      </c>
      <c r="K4" s="38">
        <v>8.8999999999999996E-2</v>
      </c>
      <c r="L4" s="38">
        <v>8.9399999999999993E-2</v>
      </c>
      <c r="M4" s="38">
        <v>8.8700000000000001E-2</v>
      </c>
      <c r="N4" s="38">
        <v>9.1200000000000003E-2</v>
      </c>
      <c r="O4" s="38">
        <v>8.8999999999999996E-2</v>
      </c>
      <c r="P4" s="38">
        <v>9.1700000000000004E-2</v>
      </c>
      <c r="Q4" s="38">
        <v>9.2999999999999999E-2</v>
      </c>
      <c r="R4" s="38">
        <v>9.5000000000000001E-2</v>
      </c>
      <c r="S4" s="38">
        <v>9.3600000000000003E-2</v>
      </c>
      <c r="T4" s="38">
        <v>9.7000000000000003E-2</v>
      </c>
      <c r="U4" s="38">
        <v>9.9000000000000005E-2</v>
      </c>
      <c r="V4" s="38">
        <v>0.10100000000000001</v>
      </c>
      <c r="W4" s="38">
        <v>0.109</v>
      </c>
      <c r="X4" s="38">
        <v>0.114</v>
      </c>
      <c r="Y4" s="38">
        <v>0.1149</v>
      </c>
      <c r="Z4" s="38">
        <v>0.11799999999999999</v>
      </c>
      <c r="AA4" s="38">
        <v>0.123</v>
      </c>
      <c r="AB4" s="38">
        <v>0.129</v>
      </c>
      <c r="AC4" s="38">
        <v>0.13700000000000001</v>
      </c>
      <c r="AD4" s="38">
        <v>0.13800000000000001</v>
      </c>
      <c r="AE4" s="38">
        <v>0.151</v>
      </c>
      <c r="AF4" s="38">
        <v>0.156</v>
      </c>
      <c r="AG4" s="38">
        <v>0.161</v>
      </c>
      <c r="AH4" s="38">
        <v>0.161</v>
      </c>
      <c r="AI4" s="38">
        <v>0.16500000000000001</v>
      </c>
      <c r="AJ4" s="38">
        <v>0.16500000000000001</v>
      </c>
      <c r="AK4" s="38">
        <v>0.17299999999999999</v>
      </c>
      <c r="AL4" s="38">
        <v>0.17399999999999999</v>
      </c>
      <c r="AM4" s="38">
        <v>0.17499999999999999</v>
      </c>
      <c r="AN4" s="38">
        <v>0.18</v>
      </c>
      <c r="AO4" s="38">
        <v>0.18099999999999999</v>
      </c>
      <c r="AP4" s="38">
        <v>0.193</v>
      </c>
      <c r="AQ4" s="38">
        <v>0.191</v>
      </c>
      <c r="AR4" s="38">
        <v>0.193</v>
      </c>
      <c r="AS4" s="38">
        <v>0.19239999999999999</v>
      </c>
      <c r="AT4" s="38">
        <v>0.19800000000000001</v>
      </c>
      <c r="AU4" s="38">
        <v>0.2</v>
      </c>
      <c r="AV4" s="38">
        <v>0.2112</v>
      </c>
      <c r="AW4" s="38">
        <v>0.2145</v>
      </c>
      <c r="AX4" s="38">
        <v>0.21</v>
      </c>
      <c r="AY4" s="38">
        <v>0.21199999999999999</v>
      </c>
      <c r="AZ4" s="38">
        <v>0.216</v>
      </c>
      <c r="BA4" s="38">
        <v>0.218</v>
      </c>
      <c r="BB4" s="38">
        <v>0.219</v>
      </c>
      <c r="BC4" s="38">
        <v>0.22</v>
      </c>
      <c r="BD4" s="38">
        <v>0.223</v>
      </c>
      <c r="BE4" s="38">
        <v>0.23</v>
      </c>
      <c r="BF4" s="38">
        <v>0.23200000000000001</v>
      </c>
      <c r="BG4" s="38">
        <v>0.23400000000000001</v>
      </c>
      <c r="BH4" s="38">
        <v>0.23699999999999999</v>
      </c>
      <c r="BI4" s="38">
        <v>0.2382</v>
      </c>
      <c r="BJ4" s="38">
        <v>0.2394</v>
      </c>
      <c r="BK4" s="38">
        <v>0.24204999999999999</v>
      </c>
      <c r="BL4" s="38">
        <v>0.24299999999999999</v>
      </c>
      <c r="BM4" s="38">
        <v>0.24299999999999999</v>
      </c>
      <c r="BN4" s="38">
        <v>0.24249999999999999</v>
      </c>
      <c r="BO4" s="38">
        <v>0.24460000000000001</v>
      </c>
      <c r="BP4" s="38">
        <v>0.245</v>
      </c>
      <c r="BQ4" s="38">
        <v>0.24560000000000001</v>
      </c>
      <c r="BR4" s="38">
        <v>0.24759999999999999</v>
      </c>
      <c r="BS4" s="38">
        <v>0.2472</v>
      </c>
      <c r="BT4" s="38">
        <v>0.24299999999999999</v>
      </c>
      <c r="BU4" s="38">
        <v>0.246</v>
      </c>
      <c r="BV4" s="38">
        <v>0.2447</v>
      </c>
      <c r="BW4" s="38">
        <v>0.24399999999999999</v>
      </c>
      <c r="BX4" s="38">
        <v>0.24490000000000001</v>
      </c>
      <c r="BY4" s="38">
        <v>0.2467</v>
      </c>
      <c r="BZ4" s="38">
        <v>0.24940000000000001</v>
      </c>
      <c r="CA4" s="38">
        <v>0.24970000000000001</v>
      </c>
      <c r="CB4" s="38">
        <v>0.251</v>
      </c>
      <c r="CC4" s="38">
        <v>0.252</v>
      </c>
      <c r="CD4" s="38">
        <v>0.25180000000000002</v>
      </c>
      <c r="CE4" s="38">
        <v>0.25219999999999998</v>
      </c>
      <c r="CF4" s="38">
        <v>0.251</v>
      </c>
      <c r="CG4" s="38">
        <v>0.24859999999999999</v>
      </c>
      <c r="CH4" s="38">
        <v>0.25090000000000001</v>
      </c>
      <c r="CI4" s="38">
        <v>0.25069999999999998</v>
      </c>
      <c r="CJ4" s="38">
        <v>0.25140000000000001</v>
      </c>
      <c r="CK4" s="38">
        <v>0.252</v>
      </c>
      <c r="CL4" s="38">
        <v>0.25290000000000001</v>
      </c>
      <c r="CM4" s="38">
        <v>0.25390000000000001</v>
      </c>
      <c r="CN4" s="38">
        <v>0.25090000000000001</v>
      </c>
      <c r="CO4" s="38">
        <v>0.25240000000000001</v>
      </c>
      <c r="CP4" s="38">
        <v>0.251</v>
      </c>
      <c r="CQ4" s="38">
        <v>0.251</v>
      </c>
      <c r="CR4" s="38">
        <v>0.25259999999999999</v>
      </c>
      <c r="CS4" s="38">
        <v>0.252</v>
      </c>
      <c r="CT4" s="38">
        <v>0.253</v>
      </c>
      <c r="CU4" s="38">
        <v>0.25319999999999998</v>
      </c>
      <c r="CV4" s="38">
        <v>0.25387999999999999</v>
      </c>
      <c r="CW4" s="38">
        <v>0.255</v>
      </c>
      <c r="CX4" s="38">
        <v>0.25409999999999999</v>
      </c>
      <c r="CY4" s="38">
        <v>0.25374000000000002</v>
      </c>
      <c r="CZ4" s="38">
        <v>0.2545</v>
      </c>
    </row>
    <row r="5" spans="1:104">
      <c r="A5" t="s">
        <v>113</v>
      </c>
      <c r="B5" s="62">
        <v>8.4099999999999994E-2</v>
      </c>
      <c r="C5" s="38">
        <v>8.5300000000000001E-2</v>
      </c>
      <c r="D5" s="38">
        <v>8.1799999999999998E-2</v>
      </c>
      <c r="E5" s="38">
        <v>8.1699999999999995E-2</v>
      </c>
      <c r="F5" s="38">
        <v>8.2100000000000006E-2</v>
      </c>
      <c r="G5" s="38">
        <v>8.4099999999999994E-2</v>
      </c>
      <c r="H5" s="38">
        <v>8.4199999999999997E-2</v>
      </c>
      <c r="I5" s="38">
        <v>8.9399999999999993E-2</v>
      </c>
      <c r="J5" s="38">
        <v>8.8099999999999998E-2</v>
      </c>
      <c r="K5" s="38">
        <v>8.8700000000000001E-2</v>
      </c>
      <c r="L5" s="38">
        <v>8.9399999999999993E-2</v>
      </c>
      <c r="M5" s="38">
        <v>8.8700000000000001E-2</v>
      </c>
      <c r="N5" s="38">
        <v>8.9499999999999996E-2</v>
      </c>
      <c r="O5" s="38">
        <v>8.8999999999999996E-2</v>
      </c>
      <c r="P5" s="38">
        <v>9.1700000000000004E-2</v>
      </c>
      <c r="Q5" s="38">
        <v>9.0399999999999994E-2</v>
      </c>
      <c r="R5" s="38">
        <v>9.1700000000000004E-2</v>
      </c>
      <c r="S5" s="38">
        <v>9.3600000000000003E-2</v>
      </c>
      <c r="T5" s="38">
        <v>9.5200000000000007E-2</v>
      </c>
      <c r="U5" s="38">
        <v>9.7100000000000006E-2</v>
      </c>
      <c r="V5" s="38">
        <v>0.1033</v>
      </c>
      <c r="W5" s="38">
        <v>0.1061</v>
      </c>
      <c r="X5" s="38">
        <v>0.11119999999999999</v>
      </c>
      <c r="Y5" s="38">
        <v>0.1149</v>
      </c>
      <c r="Z5" s="38">
        <v>0.1164</v>
      </c>
      <c r="AA5" s="38">
        <v>0.12130000000000001</v>
      </c>
      <c r="AB5" s="38">
        <v>0.12640000000000001</v>
      </c>
      <c r="AC5" s="38">
        <v>0.13320000000000001</v>
      </c>
      <c r="AD5" s="38">
        <v>0.1313</v>
      </c>
      <c r="AE5" s="38">
        <v>0.1406</v>
      </c>
      <c r="AF5" s="38">
        <v>0.1459</v>
      </c>
      <c r="AG5" s="38">
        <v>0.1492</v>
      </c>
      <c r="AH5" s="38">
        <v>0.14680000000000001</v>
      </c>
      <c r="AI5" s="38">
        <v>0.14899999999999999</v>
      </c>
      <c r="AJ5" s="38">
        <v>0.1515</v>
      </c>
      <c r="AK5" s="38">
        <v>0.15670000000000001</v>
      </c>
      <c r="AL5" s="38">
        <v>0.16139999999999999</v>
      </c>
      <c r="AM5" s="38">
        <v>0.1641</v>
      </c>
      <c r="AN5" s="38">
        <v>0.1691</v>
      </c>
      <c r="AO5" s="38">
        <v>0.1734</v>
      </c>
      <c r="AP5" s="38">
        <v>0.17499999999999999</v>
      </c>
      <c r="AQ5" s="38">
        <v>0.17699999999999999</v>
      </c>
      <c r="AR5" s="38">
        <v>0.1812</v>
      </c>
      <c r="AS5" s="38">
        <v>0.18240000000000001</v>
      </c>
      <c r="AT5" s="38">
        <v>0.18779999999999999</v>
      </c>
      <c r="AU5" s="38">
        <v>0.19589999999999999</v>
      </c>
      <c r="AV5" s="38">
        <v>0.1946</v>
      </c>
      <c r="AW5" s="38">
        <v>0.20050000000000001</v>
      </c>
      <c r="AX5" s="38">
        <v>0.19620000000000001</v>
      </c>
      <c r="AY5" s="38">
        <v>0.20630000000000001</v>
      </c>
      <c r="AZ5" s="38">
        <v>0.2034</v>
      </c>
      <c r="BA5" s="38">
        <v>0.2054</v>
      </c>
      <c r="BB5" s="38">
        <v>0.20630000000000001</v>
      </c>
      <c r="BC5" s="38">
        <v>0.20780000000000001</v>
      </c>
      <c r="BD5" s="38">
        <v>0.21310000000000001</v>
      </c>
      <c r="BE5" s="38">
        <v>0.21060000000000001</v>
      </c>
      <c r="BF5" s="38">
        <v>0.2122</v>
      </c>
      <c r="BG5" s="38">
        <v>0.21410000000000001</v>
      </c>
      <c r="BH5" s="38">
        <v>0.22370000000000001</v>
      </c>
      <c r="BI5" s="38">
        <v>0.21820000000000001</v>
      </c>
      <c r="BJ5" s="38">
        <v>0.21940000000000001</v>
      </c>
      <c r="BK5" s="38">
        <v>0.2205</v>
      </c>
      <c r="BL5" s="38">
        <v>0.22700000000000001</v>
      </c>
      <c r="BM5" s="38">
        <v>0.22040000000000001</v>
      </c>
      <c r="BN5" s="38">
        <v>0.2225</v>
      </c>
      <c r="BO5" s="38">
        <v>0.22459999999999999</v>
      </c>
      <c r="BP5" s="38">
        <v>0.22500000000000001</v>
      </c>
      <c r="BQ5" s="38">
        <v>0.22559999999999999</v>
      </c>
      <c r="BR5" s="38">
        <v>0.2276</v>
      </c>
      <c r="BS5" s="38">
        <v>0.23719999999999999</v>
      </c>
      <c r="BT5" s="38">
        <v>0.23039999999999999</v>
      </c>
      <c r="BU5" s="38">
        <v>0.22950000000000001</v>
      </c>
      <c r="BV5" s="38">
        <v>0.23469999999999999</v>
      </c>
      <c r="BW5" s="38">
        <v>0.2334</v>
      </c>
      <c r="BX5" s="38">
        <v>0.2349</v>
      </c>
      <c r="BY5" s="38">
        <v>0.23669999999999999</v>
      </c>
      <c r="BZ5" s="38">
        <v>0.2394</v>
      </c>
      <c r="CA5" s="38">
        <v>0.2397</v>
      </c>
      <c r="CB5" s="38">
        <v>0.23569999999999999</v>
      </c>
      <c r="CC5" s="38">
        <v>0.24299999999999999</v>
      </c>
      <c r="CD5" s="38">
        <v>0.24079999999999999</v>
      </c>
      <c r="CE5" s="38">
        <v>0.2422</v>
      </c>
      <c r="CF5" s="38">
        <v>0.2487</v>
      </c>
      <c r="CG5" s="38">
        <v>0.23860000000000001</v>
      </c>
      <c r="CH5" s="38">
        <v>0.2409</v>
      </c>
      <c r="CI5" s="38">
        <v>0.2407</v>
      </c>
      <c r="CJ5" s="38">
        <v>0.2414</v>
      </c>
      <c r="CK5" s="38">
        <v>0.2445</v>
      </c>
      <c r="CL5" s="38">
        <v>0.2429</v>
      </c>
      <c r="CM5" s="38">
        <v>0.24390000000000001</v>
      </c>
      <c r="CN5" s="38">
        <v>0.2409</v>
      </c>
      <c r="CO5" s="38">
        <v>0.24540000000000001</v>
      </c>
      <c r="CP5" s="38">
        <v>0.24460000000000001</v>
      </c>
      <c r="CQ5" s="38">
        <v>0.24410000000000001</v>
      </c>
      <c r="CR5" s="38">
        <v>0.24260000000000001</v>
      </c>
      <c r="CS5" s="38">
        <v>0.2422</v>
      </c>
      <c r="CT5" s="38">
        <v>0.245</v>
      </c>
      <c r="CU5" s="38">
        <v>0.2442</v>
      </c>
      <c r="CV5" s="38">
        <v>0.24099999999999999</v>
      </c>
      <c r="CW5" s="38">
        <v>0.24199999999999999</v>
      </c>
      <c r="CX5" s="38">
        <v>0.24399999999999999</v>
      </c>
      <c r="CY5" s="38">
        <v>0.24099999999999999</v>
      </c>
      <c r="CZ5" s="38">
        <v>0.24199999999999999</v>
      </c>
    </row>
    <row r="6" spans="1:104">
      <c r="A6" t="s">
        <v>114</v>
      </c>
      <c r="B6" s="62">
        <v>8.5000000000000006E-2</v>
      </c>
      <c r="C6" s="38">
        <v>8.5300000000000001E-2</v>
      </c>
      <c r="D6" s="38">
        <v>8.3000000000000004E-2</v>
      </c>
      <c r="E6" s="38">
        <v>8.1000000000000003E-2</v>
      </c>
      <c r="F6" s="38">
        <v>0.08</v>
      </c>
      <c r="G6" s="38">
        <v>8.1100000000000005E-2</v>
      </c>
      <c r="H6" s="38">
        <v>8.1000000000000003E-2</v>
      </c>
      <c r="I6" s="38">
        <v>8.0399999999999999E-2</v>
      </c>
      <c r="J6" s="38">
        <v>8.0799999999999997E-2</v>
      </c>
      <c r="K6" s="38">
        <v>8.2000000000000003E-2</v>
      </c>
      <c r="L6" s="38">
        <v>8.14E-2</v>
      </c>
      <c r="M6" s="38">
        <v>8.2699999999999996E-2</v>
      </c>
      <c r="N6" s="38">
        <v>8.2500000000000004E-2</v>
      </c>
      <c r="O6" s="38">
        <v>8.2900000000000001E-2</v>
      </c>
      <c r="P6" s="38">
        <v>8.6999999999999994E-2</v>
      </c>
      <c r="Q6" s="38">
        <v>8.7999999999999995E-2</v>
      </c>
      <c r="R6" s="38">
        <v>8.8999999999999996E-2</v>
      </c>
      <c r="S6" s="38">
        <v>9.01E-2</v>
      </c>
      <c r="T6" s="38">
        <v>9.1200000000000003E-2</v>
      </c>
      <c r="U6" s="38">
        <v>9.1800000000000007E-2</v>
      </c>
      <c r="V6" s="38">
        <v>9.5299999999999996E-2</v>
      </c>
      <c r="W6" s="38">
        <v>9.8000000000000004E-2</v>
      </c>
      <c r="X6" s="38">
        <v>0.1</v>
      </c>
      <c r="Y6" s="38">
        <v>0.10199999999999999</v>
      </c>
      <c r="Z6" s="38">
        <v>0.104</v>
      </c>
      <c r="AA6" s="38">
        <v>0.104</v>
      </c>
      <c r="AB6" s="38">
        <v>0.106</v>
      </c>
      <c r="AC6" s="38">
        <v>0.11</v>
      </c>
      <c r="AD6" s="38">
        <v>0.113</v>
      </c>
      <c r="AE6" s="38">
        <v>0.114</v>
      </c>
      <c r="AF6" s="38">
        <v>0.11799999999999999</v>
      </c>
      <c r="AG6" s="38">
        <v>0.12</v>
      </c>
      <c r="AH6" s="38">
        <v>0.1268</v>
      </c>
      <c r="AI6" s="38">
        <v>0.129</v>
      </c>
      <c r="AJ6" s="38">
        <v>0.13150000000000001</v>
      </c>
      <c r="AK6" s="38">
        <v>0.13669999999999999</v>
      </c>
      <c r="AL6" s="38">
        <v>0.1414</v>
      </c>
      <c r="AM6" s="38">
        <v>0.14410000000000001</v>
      </c>
      <c r="AN6" s="38">
        <v>0.14910000000000001</v>
      </c>
      <c r="AO6" s="38">
        <v>0.16339999999999999</v>
      </c>
      <c r="AP6" s="38">
        <v>0.16500000000000001</v>
      </c>
      <c r="AQ6" s="38">
        <v>0.16600000000000001</v>
      </c>
      <c r="AR6" s="38">
        <v>0.17399999999999999</v>
      </c>
      <c r="AS6" s="38">
        <v>0.17499999999999999</v>
      </c>
      <c r="AT6" s="38">
        <v>0.17780000000000001</v>
      </c>
      <c r="AU6" s="38">
        <v>0.17899999999999999</v>
      </c>
      <c r="AV6" s="38">
        <v>0.18060000000000001</v>
      </c>
      <c r="AW6" s="38">
        <v>0.189</v>
      </c>
      <c r="AX6" s="38">
        <v>0.19220000000000001</v>
      </c>
      <c r="AY6" s="38">
        <v>0.19800000000000001</v>
      </c>
      <c r="AZ6" s="38">
        <v>0.19800000000000001</v>
      </c>
      <c r="BA6" s="38">
        <v>0.19900000000000001</v>
      </c>
      <c r="BB6" s="38">
        <v>0.19400000000000001</v>
      </c>
      <c r="BC6" s="38">
        <v>0.19800000000000001</v>
      </c>
      <c r="BD6" s="38">
        <v>0.2</v>
      </c>
      <c r="BE6" s="38">
        <v>0.19900000000000001</v>
      </c>
      <c r="BF6" s="38">
        <v>0.19980000000000001</v>
      </c>
      <c r="BG6" s="38">
        <v>0.2011</v>
      </c>
      <c r="BH6" s="38">
        <v>0.20699999999999999</v>
      </c>
      <c r="BI6" s="38">
        <v>0.2082</v>
      </c>
      <c r="BJ6" s="38">
        <v>0.20899999999999999</v>
      </c>
      <c r="BK6" s="38">
        <v>0.21199999999999999</v>
      </c>
      <c r="BL6" s="38">
        <v>0.21337999999999999</v>
      </c>
      <c r="BM6" s="38">
        <v>0.21457999999999999</v>
      </c>
      <c r="BN6" s="38">
        <v>0.21679999999999999</v>
      </c>
      <c r="BO6" s="38">
        <v>0.21689</v>
      </c>
      <c r="BP6" s="38">
        <v>0.215</v>
      </c>
      <c r="BQ6" s="38">
        <v>0.21560000000000001</v>
      </c>
      <c r="BR6" s="38">
        <v>0.21759999999999999</v>
      </c>
      <c r="BS6" s="38">
        <v>0.22172</v>
      </c>
      <c r="BT6" s="38">
        <v>0.22303999999999999</v>
      </c>
      <c r="BU6" s="38">
        <v>0.22550000000000001</v>
      </c>
      <c r="BV6" s="38">
        <v>0.22470000000000001</v>
      </c>
      <c r="BW6" s="38">
        <v>0.22339999999999999</v>
      </c>
      <c r="BX6" s="38">
        <v>0.22348999999999999</v>
      </c>
      <c r="BY6" s="38">
        <v>0.22670000000000001</v>
      </c>
      <c r="BZ6" s="38">
        <v>0.22939999999999999</v>
      </c>
      <c r="CA6" s="38">
        <v>0.22936000000000001</v>
      </c>
      <c r="CB6" s="38">
        <v>0.23014999999999999</v>
      </c>
      <c r="CC6" s="38">
        <v>0.23089999999999999</v>
      </c>
      <c r="CD6" s="38">
        <v>0.23080000000000001</v>
      </c>
      <c r="CE6" s="38">
        <v>0.23219999999999999</v>
      </c>
      <c r="CF6" s="38">
        <v>0.23269999999999999</v>
      </c>
      <c r="CG6" s="38">
        <v>0.2336</v>
      </c>
      <c r="CH6" s="38">
        <v>0.2349</v>
      </c>
      <c r="CI6" s="38">
        <v>0.23200000000000001</v>
      </c>
      <c r="CJ6" s="38">
        <v>0.23139999999999999</v>
      </c>
      <c r="CK6" s="38">
        <v>0.23449999999999999</v>
      </c>
      <c r="CL6" s="38">
        <v>0.2369</v>
      </c>
      <c r="CM6" s="38">
        <v>0.23899999999999999</v>
      </c>
      <c r="CN6" s="38">
        <v>0.23799999999999999</v>
      </c>
      <c r="CO6" s="38">
        <v>0.23400000000000001</v>
      </c>
      <c r="CP6" s="38">
        <v>0.2346</v>
      </c>
      <c r="CQ6" s="38">
        <v>0.23810000000000001</v>
      </c>
      <c r="CR6" s="38">
        <v>0.23899999999999999</v>
      </c>
      <c r="CS6" s="38">
        <v>0.2392</v>
      </c>
      <c r="CT6" s="38">
        <v>0.23799999999999999</v>
      </c>
      <c r="CU6" s="38">
        <v>0.23849999999999999</v>
      </c>
      <c r="CV6" s="38">
        <v>0.23580000000000001</v>
      </c>
      <c r="CW6" s="38">
        <v>0.23400000000000001</v>
      </c>
      <c r="CX6" s="38">
        <v>0.23300000000000001</v>
      </c>
      <c r="CY6" s="38">
        <v>0.23400000000000001</v>
      </c>
      <c r="CZ6" s="38">
        <v>0.23599999999999999</v>
      </c>
    </row>
    <row r="9" spans="1:104">
      <c r="A9" s="55" t="s">
        <v>117</v>
      </c>
      <c r="B9" s="1"/>
    </row>
    <row r="10" spans="1:104">
      <c r="A10" s="11"/>
      <c r="B10" t="s">
        <v>115</v>
      </c>
    </row>
    <row r="11" spans="1:104">
      <c r="A11" s="11" t="s">
        <v>116</v>
      </c>
      <c r="B11" s="61">
        <v>0</v>
      </c>
      <c r="C11" s="39">
        <v>80</v>
      </c>
      <c r="D11" s="39">
        <v>160</v>
      </c>
      <c r="E11" s="39">
        <v>310</v>
      </c>
      <c r="F11" s="39">
        <v>390</v>
      </c>
      <c r="G11" s="39">
        <v>470</v>
      </c>
      <c r="H11" s="39">
        <v>550</v>
      </c>
      <c r="I11" s="39">
        <v>630</v>
      </c>
      <c r="J11" s="39">
        <v>710</v>
      </c>
      <c r="K11" s="39">
        <v>790</v>
      </c>
      <c r="L11" s="39">
        <v>870</v>
      </c>
      <c r="M11" s="39">
        <v>950</v>
      </c>
      <c r="N11" s="39">
        <v>1030</v>
      </c>
      <c r="O11" s="39">
        <v>1110</v>
      </c>
      <c r="P11" s="39">
        <v>1190</v>
      </c>
      <c r="Q11" s="39">
        <v>1270</v>
      </c>
      <c r="R11" s="39">
        <v>1350</v>
      </c>
      <c r="S11" s="39">
        <v>1430</v>
      </c>
      <c r="T11" s="39">
        <v>1510</v>
      </c>
      <c r="U11" s="39">
        <v>1590</v>
      </c>
      <c r="V11" s="39">
        <v>1670</v>
      </c>
      <c r="W11" s="39">
        <v>1750</v>
      </c>
      <c r="X11" s="39">
        <v>1830</v>
      </c>
      <c r="Y11" s="39">
        <v>1910</v>
      </c>
      <c r="Z11" s="39">
        <v>1990</v>
      </c>
      <c r="AA11" s="39">
        <v>2070</v>
      </c>
      <c r="AB11" s="39">
        <v>2150</v>
      </c>
      <c r="AC11" s="39">
        <v>2230</v>
      </c>
      <c r="AD11" s="39">
        <v>2310</v>
      </c>
      <c r="AE11" s="39">
        <v>2390</v>
      </c>
      <c r="AF11" s="39">
        <v>2470</v>
      </c>
      <c r="AG11" s="39">
        <v>2550</v>
      </c>
      <c r="AH11" s="39">
        <v>2630</v>
      </c>
      <c r="AI11" s="39">
        <v>2710</v>
      </c>
      <c r="AJ11" s="39">
        <v>2790</v>
      </c>
      <c r="AK11" s="39">
        <v>2870</v>
      </c>
      <c r="AL11" s="39">
        <v>2950</v>
      </c>
      <c r="AM11" s="39">
        <v>3030</v>
      </c>
      <c r="AN11" s="39">
        <v>3110</v>
      </c>
      <c r="AO11" s="39">
        <v>3190</v>
      </c>
      <c r="AP11" s="39">
        <v>3270</v>
      </c>
      <c r="AQ11" s="39">
        <v>3350</v>
      </c>
      <c r="AR11" s="39">
        <v>3430</v>
      </c>
      <c r="AS11" s="39">
        <v>3510</v>
      </c>
      <c r="AT11" s="39">
        <v>3590</v>
      </c>
      <c r="AU11" s="39">
        <v>3670</v>
      </c>
      <c r="AV11" s="39">
        <v>3750</v>
      </c>
      <c r="AW11" s="39">
        <v>3830</v>
      </c>
      <c r="AX11" s="39">
        <v>3910</v>
      </c>
      <c r="AY11" s="39">
        <v>3990</v>
      </c>
      <c r="AZ11" s="39">
        <v>4070</v>
      </c>
      <c r="BA11" s="39">
        <v>4150</v>
      </c>
      <c r="BB11" s="39">
        <v>4230</v>
      </c>
      <c r="BC11" s="39">
        <v>4310</v>
      </c>
      <c r="BD11" s="39">
        <v>4390</v>
      </c>
      <c r="BE11" s="39">
        <v>4470</v>
      </c>
      <c r="BF11" s="39">
        <v>4550</v>
      </c>
      <c r="BG11" s="39">
        <v>4630</v>
      </c>
      <c r="BH11" s="39">
        <v>4710</v>
      </c>
      <c r="BI11" s="39">
        <v>4790</v>
      </c>
      <c r="BJ11" s="39">
        <v>4870</v>
      </c>
      <c r="BK11" s="39">
        <v>4950</v>
      </c>
      <c r="BL11" s="39">
        <v>5030</v>
      </c>
      <c r="BM11" s="39">
        <v>5110</v>
      </c>
      <c r="BN11" s="39">
        <v>5230</v>
      </c>
      <c r="BO11" s="39">
        <v>5350</v>
      </c>
      <c r="BP11" s="39">
        <v>5470</v>
      </c>
      <c r="BQ11" s="39">
        <v>5590</v>
      </c>
      <c r="BR11" s="39">
        <v>5710</v>
      </c>
      <c r="BS11" s="39">
        <v>5830</v>
      </c>
      <c r="BT11" s="39">
        <v>5950</v>
      </c>
      <c r="BU11" s="39">
        <v>6070</v>
      </c>
      <c r="BV11" s="39">
        <v>6190</v>
      </c>
      <c r="BW11" s="39">
        <v>6310</v>
      </c>
      <c r="BX11" s="39">
        <v>6430</v>
      </c>
      <c r="BY11" s="39">
        <v>6550</v>
      </c>
      <c r="BZ11" s="39">
        <v>6670</v>
      </c>
      <c r="CA11" s="39">
        <v>6790</v>
      </c>
      <c r="CB11" s="39">
        <v>6910</v>
      </c>
      <c r="CC11" s="39">
        <v>7030</v>
      </c>
      <c r="CD11" s="39">
        <v>7150</v>
      </c>
      <c r="CE11" s="39">
        <v>7270</v>
      </c>
      <c r="CF11" s="39">
        <v>7390</v>
      </c>
      <c r="CG11" s="39">
        <v>7510</v>
      </c>
      <c r="CH11" s="39">
        <v>7630</v>
      </c>
      <c r="CI11" s="39">
        <v>7750</v>
      </c>
      <c r="CJ11" s="39">
        <v>7870</v>
      </c>
      <c r="CK11" s="39">
        <v>7990</v>
      </c>
      <c r="CL11" s="39">
        <v>8110</v>
      </c>
      <c r="CM11" s="39">
        <v>8230</v>
      </c>
      <c r="CN11" s="39">
        <v>8350</v>
      </c>
      <c r="CO11" s="39">
        <v>8470</v>
      </c>
      <c r="CP11" s="39">
        <v>8590</v>
      </c>
      <c r="CQ11" s="39">
        <v>8710</v>
      </c>
      <c r="CR11" s="39">
        <v>8830</v>
      </c>
      <c r="CS11" s="39">
        <v>8950</v>
      </c>
      <c r="CT11" s="39">
        <v>9070</v>
      </c>
      <c r="CU11" s="39">
        <v>9190</v>
      </c>
      <c r="CV11" s="39">
        <v>9310</v>
      </c>
      <c r="CW11" s="39">
        <v>9430</v>
      </c>
      <c r="CX11" s="39">
        <v>9550</v>
      </c>
      <c r="CY11" s="39">
        <v>9670</v>
      </c>
      <c r="CZ11" s="39">
        <v>9790</v>
      </c>
    </row>
    <row r="12" spans="1:104">
      <c r="A12" s="11">
        <v>2</v>
      </c>
      <c r="B12" s="62">
        <v>8.2600000000000007E-2</v>
      </c>
      <c r="C12" s="40">
        <v>7.0800000000000002E-2</v>
      </c>
      <c r="D12" s="40">
        <v>7.4399999999999994E-2</v>
      </c>
      <c r="E12" s="40">
        <v>6.7699999999999996E-2</v>
      </c>
      <c r="F12" s="40">
        <v>7.0599999999999996E-2</v>
      </c>
      <c r="G12" s="40">
        <v>7.46E-2</v>
      </c>
      <c r="H12" s="40">
        <v>7.9600000000000004E-2</v>
      </c>
      <c r="I12" s="40">
        <v>7.4700000000000003E-2</v>
      </c>
      <c r="J12" s="40">
        <v>7.5600000000000001E-2</v>
      </c>
      <c r="K12" s="40">
        <v>8.09E-2</v>
      </c>
      <c r="L12" s="40">
        <v>7.6100000000000001E-2</v>
      </c>
      <c r="M12" s="40">
        <v>7.3899999999999993E-2</v>
      </c>
      <c r="N12" s="40">
        <v>7.46E-2</v>
      </c>
      <c r="O12" s="40">
        <v>7.4399999999999994E-2</v>
      </c>
      <c r="P12" s="40">
        <v>7.6399999999999996E-2</v>
      </c>
      <c r="Q12" s="40">
        <v>8.3000000000000004E-2</v>
      </c>
      <c r="R12" s="40">
        <v>7.8E-2</v>
      </c>
      <c r="S12" s="40">
        <v>8.1799999999999998E-2</v>
      </c>
      <c r="T12" s="40">
        <v>7.5999999999999998E-2</v>
      </c>
      <c r="U12" s="40">
        <v>7.7799999999999994E-2</v>
      </c>
      <c r="V12" s="40">
        <v>8.2799999999999999E-2</v>
      </c>
      <c r="W12" s="40">
        <v>8.4000000000000005E-2</v>
      </c>
      <c r="X12" s="40">
        <v>7.6999999999999999E-2</v>
      </c>
      <c r="Y12" s="40">
        <v>8.4599999999999995E-2</v>
      </c>
      <c r="Z12" s="40">
        <v>7.9399999999999998E-2</v>
      </c>
      <c r="AA12" s="40">
        <v>8.1000000000000003E-2</v>
      </c>
      <c r="AB12" s="40">
        <v>7.9799999999999996E-2</v>
      </c>
      <c r="AC12" s="40">
        <v>8.3599999999999994E-2</v>
      </c>
      <c r="AD12" s="40">
        <v>8.3699999999999997E-2</v>
      </c>
      <c r="AE12" s="40">
        <v>8.7300000000000003E-2</v>
      </c>
      <c r="AF12" s="40">
        <v>8.0699999999999994E-2</v>
      </c>
      <c r="AG12" s="40">
        <v>8.6199999999999999E-2</v>
      </c>
      <c r="AH12" s="40">
        <v>8.6499999999999994E-2</v>
      </c>
      <c r="AI12" s="40">
        <v>8.3000000000000004E-2</v>
      </c>
      <c r="AJ12" s="40">
        <v>8.1900000000000001E-2</v>
      </c>
      <c r="AK12" s="40">
        <v>8.4199999999999997E-2</v>
      </c>
      <c r="AL12" s="40">
        <v>9.1999999999999998E-2</v>
      </c>
      <c r="AM12" s="40">
        <v>9.0700000000000003E-2</v>
      </c>
      <c r="AN12" s="40">
        <v>9.2299999999999993E-2</v>
      </c>
      <c r="AO12" s="40">
        <v>0.09</v>
      </c>
      <c r="AP12" s="40">
        <v>8.3599999999999994E-2</v>
      </c>
      <c r="AQ12" s="40">
        <v>8.6599999999999996E-2</v>
      </c>
      <c r="AR12" s="40">
        <v>8.5999999999999993E-2</v>
      </c>
      <c r="AS12" s="40">
        <v>8.5900000000000004E-2</v>
      </c>
      <c r="AT12" s="40">
        <v>8.5599999999999996E-2</v>
      </c>
      <c r="AU12" s="40">
        <v>9.0899999999999995E-2</v>
      </c>
      <c r="AV12" s="40">
        <v>9.1700000000000004E-2</v>
      </c>
      <c r="AW12" s="40">
        <v>9.6799999999999997E-2</v>
      </c>
      <c r="AX12" s="40">
        <v>9.11E-2</v>
      </c>
      <c r="AY12" s="40">
        <v>9.8699999999999996E-2</v>
      </c>
      <c r="AZ12" s="40">
        <v>9.7900000000000001E-2</v>
      </c>
      <c r="BA12" s="40">
        <v>8.9399999999999993E-2</v>
      </c>
      <c r="BB12" s="40">
        <v>9.6600000000000005E-2</v>
      </c>
      <c r="BC12" s="40">
        <v>9.8400000000000001E-2</v>
      </c>
      <c r="BD12" s="40">
        <v>9.6100000000000005E-2</v>
      </c>
      <c r="BE12" s="40">
        <v>9.4600000000000004E-2</v>
      </c>
      <c r="BF12" s="40">
        <v>0.1004</v>
      </c>
      <c r="BG12" s="40">
        <v>9.98E-2</v>
      </c>
      <c r="BH12" s="40">
        <v>9.9599999999999994E-2</v>
      </c>
      <c r="BI12" s="40">
        <v>0.10009999999999999</v>
      </c>
      <c r="BJ12" s="40">
        <v>0.10150000000000001</v>
      </c>
      <c r="BK12" s="40">
        <v>0.1041</v>
      </c>
      <c r="BL12" s="40">
        <v>0.1024</v>
      </c>
      <c r="BM12" s="40">
        <v>0.1014</v>
      </c>
      <c r="BN12" s="40">
        <v>0.10489999999999999</v>
      </c>
      <c r="BO12" s="40">
        <v>0.1033</v>
      </c>
      <c r="BP12" s="40">
        <v>9.7799999999999998E-2</v>
      </c>
      <c r="BQ12" s="40">
        <v>0.10780000000000001</v>
      </c>
      <c r="BR12" s="40">
        <v>9.9500000000000005E-2</v>
      </c>
      <c r="BS12" s="40">
        <v>0.1082</v>
      </c>
      <c r="BT12" s="40">
        <v>0.1084</v>
      </c>
      <c r="BU12" s="40">
        <v>0.1076</v>
      </c>
      <c r="BV12" s="40">
        <v>0.1089</v>
      </c>
      <c r="BW12" s="40">
        <v>0.1085</v>
      </c>
      <c r="BX12" s="40">
        <v>0.1057</v>
      </c>
      <c r="BY12" s="40">
        <v>0.1082</v>
      </c>
      <c r="BZ12" s="40">
        <v>0.1111</v>
      </c>
      <c r="CA12" s="40">
        <v>0.1108</v>
      </c>
      <c r="CB12" s="40">
        <v>0.108</v>
      </c>
      <c r="CC12" s="40">
        <v>0.10920000000000001</v>
      </c>
      <c r="CD12" s="40">
        <v>0.1089</v>
      </c>
      <c r="CE12" s="40">
        <v>0.1106</v>
      </c>
      <c r="CF12" s="40">
        <v>0.1138</v>
      </c>
      <c r="CG12" s="40">
        <v>0.108</v>
      </c>
      <c r="CH12" s="40">
        <v>0.10929999999999999</v>
      </c>
      <c r="CI12" s="40">
        <v>0.1106</v>
      </c>
      <c r="CJ12" s="40">
        <v>0.1087</v>
      </c>
      <c r="CK12" s="40">
        <v>0.1072</v>
      </c>
      <c r="CL12" s="40">
        <v>0.11169999999999999</v>
      </c>
      <c r="CM12" s="40">
        <v>0.1109</v>
      </c>
      <c r="CN12" s="40">
        <v>0.11210000000000001</v>
      </c>
      <c r="CO12" s="40">
        <v>0.11310000000000001</v>
      </c>
      <c r="CP12" s="40">
        <v>0.1105</v>
      </c>
      <c r="CQ12" s="40">
        <v>0.1147</v>
      </c>
      <c r="CR12" s="40">
        <v>0.1168</v>
      </c>
      <c r="CS12" s="40">
        <v>0.1137</v>
      </c>
      <c r="CT12" s="40">
        <v>0.115</v>
      </c>
      <c r="CU12" s="40">
        <v>0.1142</v>
      </c>
      <c r="CV12" s="40">
        <v>0.1128</v>
      </c>
      <c r="CW12" s="40">
        <v>0.1132</v>
      </c>
      <c r="CX12" s="40">
        <v>0.1143</v>
      </c>
      <c r="CY12" s="40">
        <v>0.1091</v>
      </c>
      <c r="CZ12" s="40">
        <v>0.108</v>
      </c>
    </row>
    <row r="13" spans="1:104">
      <c r="A13" s="11">
        <v>1</v>
      </c>
      <c r="B13" s="62">
        <v>5.5899999999999998E-2</v>
      </c>
      <c r="C13" s="40">
        <v>5.0999999999999997E-2</v>
      </c>
      <c r="D13" s="40">
        <v>5.8000000000000003E-2</v>
      </c>
      <c r="E13" s="40">
        <v>5.16E-2</v>
      </c>
      <c r="F13" s="40">
        <v>6.0299999999999999E-2</v>
      </c>
      <c r="G13" s="40">
        <v>6.6799999999999998E-2</v>
      </c>
      <c r="H13" s="40">
        <v>6.7699999999999996E-2</v>
      </c>
      <c r="I13" s="40">
        <v>6.4000000000000001E-2</v>
      </c>
      <c r="J13" s="40">
        <v>6.3899999999999998E-2</v>
      </c>
      <c r="K13" s="40">
        <v>6.8500000000000005E-2</v>
      </c>
      <c r="L13" s="40">
        <v>6.3399999999999998E-2</v>
      </c>
      <c r="M13" s="40">
        <v>6.6600000000000006E-2</v>
      </c>
      <c r="N13" s="40">
        <v>6.54E-2</v>
      </c>
      <c r="O13" s="40">
        <v>5.7799999999999997E-2</v>
      </c>
      <c r="P13" s="40">
        <v>6.7299999999999999E-2</v>
      </c>
      <c r="Q13" s="40">
        <v>6.7699999999999996E-2</v>
      </c>
      <c r="R13" s="40">
        <v>6.4600000000000005E-2</v>
      </c>
      <c r="S13" s="40">
        <v>7.1199999999999999E-2</v>
      </c>
      <c r="T13" s="40">
        <v>6.5000000000000002E-2</v>
      </c>
      <c r="U13" s="40">
        <v>6.7299999999999999E-2</v>
      </c>
      <c r="V13" s="40">
        <v>7.1199999999999999E-2</v>
      </c>
      <c r="W13" s="40">
        <v>7.3599999999999999E-2</v>
      </c>
      <c r="X13" s="40">
        <v>6.9400000000000003E-2</v>
      </c>
      <c r="Y13" s="40">
        <v>7.6399999999999996E-2</v>
      </c>
      <c r="Z13" s="40">
        <v>7.3099999999999998E-2</v>
      </c>
      <c r="AA13" s="40">
        <v>7.6200000000000004E-2</v>
      </c>
      <c r="AB13" s="40">
        <v>8.0600000000000005E-2</v>
      </c>
      <c r="AC13" s="40">
        <v>7.7799999999999994E-2</v>
      </c>
      <c r="AD13" s="40">
        <v>8.2900000000000001E-2</v>
      </c>
      <c r="AE13" s="40">
        <v>8.7999999999999995E-2</v>
      </c>
      <c r="AF13" s="40">
        <v>9.2100000000000001E-2</v>
      </c>
      <c r="AG13" s="40">
        <v>9.5799999999999996E-2</v>
      </c>
      <c r="AH13" s="40">
        <v>9.6299999999999997E-2</v>
      </c>
      <c r="AI13" s="40">
        <v>9.4299999999999995E-2</v>
      </c>
      <c r="AJ13" s="40">
        <v>0.1008</v>
      </c>
      <c r="AK13" s="40">
        <v>0.1052</v>
      </c>
      <c r="AL13" s="40">
        <v>0.111</v>
      </c>
      <c r="AM13" s="40">
        <v>0.11749999999999999</v>
      </c>
      <c r="AN13" s="40">
        <v>0.11849999999999999</v>
      </c>
      <c r="AO13" s="40">
        <v>0.1211</v>
      </c>
      <c r="AP13" s="40">
        <v>0.11609999999999999</v>
      </c>
      <c r="AQ13" s="40">
        <v>0.1198</v>
      </c>
      <c r="AR13" s="40">
        <v>0.12529999999999999</v>
      </c>
      <c r="AS13" s="40">
        <v>0.12559999999999999</v>
      </c>
      <c r="AT13" s="40">
        <v>0.12989999999999999</v>
      </c>
      <c r="AU13" s="40">
        <v>0.1328</v>
      </c>
      <c r="AV13" s="40">
        <v>0.1353</v>
      </c>
      <c r="AW13" s="40">
        <v>0.1429</v>
      </c>
      <c r="AX13" s="40">
        <v>0.13830000000000001</v>
      </c>
      <c r="AY13" s="40">
        <v>0.14480000000000001</v>
      </c>
      <c r="AZ13" s="40">
        <v>0.14660000000000001</v>
      </c>
      <c r="BA13" s="40">
        <v>0.14499999999999999</v>
      </c>
      <c r="BB13" s="40">
        <v>0.14929999999999999</v>
      </c>
      <c r="BC13" s="40">
        <v>0.1527</v>
      </c>
      <c r="BD13" s="40">
        <v>0.15290000000000001</v>
      </c>
      <c r="BE13" s="40">
        <v>0.14949999999999999</v>
      </c>
      <c r="BF13" s="40">
        <v>0.15570000000000001</v>
      </c>
      <c r="BG13" s="40">
        <v>0.1588</v>
      </c>
      <c r="BH13" s="40">
        <v>0.15690000000000001</v>
      </c>
      <c r="BI13" s="40">
        <v>0.1555</v>
      </c>
      <c r="BJ13" s="40">
        <v>0.161</v>
      </c>
      <c r="BK13" s="40">
        <v>0.16200000000000001</v>
      </c>
      <c r="BL13" s="40">
        <v>0.16209999999999999</v>
      </c>
      <c r="BM13" s="40">
        <v>0.1641</v>
      </c>
      <c r="BN13" s="40">
        <v>0.1628</v>
      </c>
      <c r="BO13" s="40">
        <v>0.16650000000000001</v>
      </c>
      <c r="BP13" s="40">
        <v>0.16139999999999999</v>
      </c>
      <c r="BQ13" s="40">
        <v>0.16750000000000001</v>
      </c>
      <c r="BR13" s="40">
        <v>0.16600000000000001</v>
      </c>
      <c r="BS13" s="40">
        <v>0.16880000000000001</v>
      </c>
      <c r="BT13" s="40">
        <v>0.1701</v>
      </c>
      <c r="BU13" s="40">
        <v>0.1711</v>
      </c>
      <c r="BV13" s="40">
        <v>0.17130000000000001</v>
      </c>
      <c r="BW13" s="40">
        <v>0.17230000000000001</v>
      </c>
      <c r="BX13" s="40">
        <v>0.1759</v>
      </c>
      <c r="BY13" s="40">
        <v>0.17530000000000001</v>
      </c>
      <c r="BZ13" s="40">
        <v>0.17480000000000001</v>
      </c>
      <c r="CA13" s="40">
        <v>0.1759</v>
      </c>
      <c r="CB13" s="40">
        <v>0.17510000000000001</v>
      </c>
      <c r="CC13" s="40">
        <v>0.1734</v>
      </c>
      <c r="CD13" s="40">
        <v>0.1714</v>
      </c>
      <c r="CE13" s="40">
        <v>0.1731</v>
      </c>
      <c r="CF13" s="40">
        <v>0.17180000000000001</v>
      </c>
      <c r="CG13" s="40">
        <v>0.17180000000000001</v>
      </c>
      <c r="CH13" s="40">
        <v>0.17519999999999999</v>
      </c>
      <c r="CI13" s="40">
        <v>0.17460000000000001</v>
      </c>
      <c r="CJ13" s="40">
        <v>0.1741</v>
      </c>
      <c r="CK13" s="40">
        <v>0.1767</v>
      </c>
      <c r="CL13" s="40">
        <v>0.17680000000000001</v>
      </c>
      <c r="CM13" s="40">
        <v>0.18060000000000001</v>
      </c>
      <c r="CN13" s="40">
        <v>0.1777</v>
      </c>
      <c r="CO13" s="40">
        <v>0.1789</v>
      </c>
      <c r="CP13" s="40">
        <v>0.17710000000000001</v>
      </c>
      <c r="CQ13" s="40">
        <v>0.18129999999999999</v>
      </c>
      <c r="CR13" s="40">
        <v>0.17899999999999999</v>
      </c>
      <c r="CS13" s="40">
        <v>0.17949999999999999</v>
      </c>
      <c r="CT13" s="40">
        <v>0.1799</v>
      </c>
      <c r="CU13" s="40">
        <v>0.18310000000000001</v>
      </c>
      <c r="CV13" s="40">
        <v>0.1827</v>
      </c>
      <c r="CW13" s="40">
        <v>0.18329999999999999</v>
      </c>
      <c r="CX13" s="40">
        <v>0.18290000000000001</v>
      </c>
      <c r="CY13" s="40">
        <v>0.17899999999999999</v>
      </c>
      <c r="CZ13" s="40">
        <v>0.17760000000000001</v>
      </c>
    </row>
    <row r="14" spans="1:104">
      <c r="A14" s="11">
        <v>0.5</v>
      </c>
      <c r="B14" s="62">
        <v>6.5000000000000002E-2</v>
      </c>
      <c r="C14" s="40">
        <v>6.6000000000000003E-2</v>
      </c>
      <c r="D14" s="40">
        <v>6.6699999999999995E-2</v>
      </c>
      <c r="E14" s="40">
        <v>6.25E-2</v>
      </c>
      <c r="F14" s="40">
        <v>6.4899999999999999E-2</v>
      </c>
      <c r="G14" s="40">
        <v>6.5299999999999997E-2</v>
      </c>
      <c r="H14" s="40">
        <v>6.7699999999999996E-2</v>
      </c>
      <c r="I14" s="40">
        <v>6.9199999999999998E-2</v>
      </c>
      <c r="J14" s="40">
        <v>6.8900000000000003E-2</v>
      </c>
      <c r="K14" s="40">
        <v>6.9500000000000006E-2</v>
      </c>
      <c r="L14" s="40">
        <v>7.1300000000000002E-2</v>
      </c>
      <c r="M14" s="40">
        <v>7.1400000000000005E-2</v>
      </c>
      <c r="N14" s="40">
        <v>7.1349999999999997E-2</v>
      </c>
      <c r="O14" s="40">
        <v>7.1260000000000004E-2</v>
      </c>
      <c r="P14" s="40">
        <v>7.1629999999999999E-2</v>
      </c>
      <c r="Q14" s="40">
        <v>7.1239999999999998E-2</v>
      </c>
      <c r="R14" s="40">
        <v>7.1480000000000002E-2</v>
      </c>
      <c r="S14" s="40">
        <v>7.2349999999999998E-2</v>
      </c>
      <c r="T14" s="40">
        <v>7.1870000000000003E-2</v>
      </c>
      <c r="U14" s="40">
        <v>7.2489999999999999E-2</v>
      </c>
      <c r="V14" s="40">
        <v>7.2288099999999994E-2</v>
      </c>
      <c r="W14" s="40">
        <v>7.2300000000000003E-2</v>
      </c>
      <c r="X14" s="40">
        <v>7.5240000000000001E-2</v>
      </c>
      <c r="Y14" s="40">
        <v>8.1699999999999995E-2</v>
      </c>
      <c r="Z14" s="40">
        <v>8.3030000000000007E-2</v>
      </c>
      <c r="AA14" s="40">
        <v>8.5313200000000006E-2</v>
      </c>
      <c r="AB14" s="40">
        <v>8.5500000000000007E-2</v>
      </c>
      <c r="AC14" s="40">
        <v>8.8959999999999997E-2</v>
      </c>
      <c r="AD14" s="40">
        <v>9.1800000000000007E-2</v>
      </c>
      <c r="AE14" s="40">
        <v>9.6570000000000003E-2</v>
      </c>
      <c r="AF14" s="40">
        <v>9.7500000000000003E-2</v>
      </c>
      <c r="AG14" s="40">
        <v>9.8900000000000002E-2</v>
      </c>
      <c r="AH14" s="40">
        <v>0.1089</v>
      </c>
      <c r="AI14" s="40">
        <v>0.1099</v>
      </c>
      <c r="AJ14" s="40">
        <v>0.1152</v>
      </c>
      <c r="AK14" s="40">
        <v>0.11695</v>
      </c>
      <c r="AL14" s="40">
        <v>0.11786000000000001</v>
      </c>
      <c r="AM14" s="40">
        <v>0.1221</v>
      </c>
      <c r="AN14" s="40">
        <v>0.12914</v>
      </c>
      <c r="AO14" s="40">
        <v>0.1326</v>
      </c>
      <c r="AP14" s="40">
        <v>0.13320000000000001</v>
      </c>
      <c r="AQ14" s="40">
        <v>0.14130000000000001</v>
      </c>
      <c r="AR14" s="40">
        <v>0.14735999999999999</v>
      </c>
      <c r="AS14" s="40">
        <v>0.14899999999999999</v>
      </c>
      <c r="AT14" s="40">
        <v>0.15340000000000001</v>
      </c>
      <c r="AU14" s="40">
        <v>0.15740000000000001</v>
      </c>
      <c r="AV14" s="40">
        <v>0.15926000000000001</v>
      </c>
      <c r="AW14" s="40">
        <v>0.16300000000000001</v>
      </c>
      <c r="AX14" s="40">
        <v>0.1696</v>
      </c>
      <c r="AY14" s="40">
        <v>0.17319999999999999</v>
      </c>
      <c r="AZ14" s="40">
        <v>0.17799999999999999</v>
      </c>
      <c r="BA14" s="40">
        <v>0.18099999999999999</v>
      </c>
      <c r="BB14" s="40">
        <v>0.183</v>
      </c>
      <c r="BC14" s="40">
        <v>0.187</v>
      </c>
      <c r="BD14" s="40">
        <v>0.189</v>
      </c>
      <c r="BE14" s="40">
        <v>0.19400000000000001</v>
      </c>
      <c r="BF14" s="40">
        <v>0.19600000000000001</v>
      </c>
      <c r="BG14" s="40">
        <v>0.19600000000000001</v>
      </c>
      <c r="BH14" s="40">
        <v>0.19900000000000001</v>
      </c>
      <c r="BI14" s="40">
        <v>0.20100000000000001</v>
      </c>
      <c r="BJ14" s="40">
        <v>0.20430000000000001</v>
      </c>
      <c r="BK14" s="40">
        <v>0.20599999999999999</v>
      </c>
      <c r="BL14" s="40">
        <v>0.2082</v>
      </c>
      <c r="BM14" s="40">
        <v>0.21110000000000001</v>
      </c>
      <c r="BN14" s="40">
        <v>0.214</v>
      </c>
      <c r="BO14" s="40">
        <v>0.21737999999999999</v>
      </c>
      <c r="BP14" s="40">
        <v>0.2198</v>
      </c>
      <c r="BQ14" s="40">
        <v>0.2223</v>
      </c>
      <c r="BR14" s="40">
        <v>0.22439999999999999</v>
      </c>
      <c r="BS14" s="40">
        <v>0.22811999999999999</v>
      </c>
      <c r="BT14" s="40">
        <v>0.22950000000000001</v>
      </c>
      <c r="BU14" s="40">
        <v>0.23119999999999999</v>
      </c>
      <c r="BV14" s="40">
        <v>0.23283999999999999</v>
      </c>
      <c r="BW14" s="40">
        <v>0.23400000000000001</v>
      </c>
      <c r="BX14" s="40">
        <v>0.2356</v>
      </c>
      <c r="BY14" s="40">
        <v>0.23699999999999999</v>
      </c>
      <c r="BZ14" s="40">
        <v>0.23899999999999999</v>
      </c>
      <c r="CA14" s="40">
        <v>0.24099999999999999</v>
      </c>
      <c r="CB14" s="40">
        <v>0.24279999999999999</v>
      </c>
      <c r="CC14" s="40">
        <v>0.24349999999999999</v>
      </c>
      <c r="CD14" s="40">
        <v>0.24399999999999999</v>
      </c>
      <c r="CE14" s="40">
        <v>0.24490000000000001</v>
      </c>
      <c r="CF14" s="40">
        <v>0.24399999999999999</v>
      </c>
      <c r="CG14" s="40">
        <v>0.24299999999999999</v>
      </c>
      <c r="CH14" s="40">
        <v>0.24399999999999999</v>
      </c>
      <c r="CI14" s="40">
        <v>0.245</v>
      </c>
      <c r="CJ14" s="40">
        <v>0.248</v>
      </c>
      <c r="CK14" s="40">
        <v>0.246</v>
      </c>
      <c r="CL14" s="40">
        <v>0.245</v>
      </c>
      <c r="CM14" s="40">
        <v>0.249</v>
      </c>
      <c r="CN14" s="40">
        <v>0.25</v>
      </c>
      <c r="CO14" s="40">
        <v>0.248</v>
      </c>
      <c r="CP14" s="40">
        <v>0.247</v>
      </c>
      <c r="CQ14" s="40">
        <v>0.249</v>
      </c>
      <c r="CR14" s="40">
        <v>0.25</v>
      </c>
      <c r="CS14" s="40">
        <v>0.251</v>
      </c>
      <c r="CT14" s="40">
        <v>0.252</v>
      </c>
      <c r="CU14" s="40">
        <v>0.252</v>
      </c>
      <c r="CV14" s="40">
        <v>0.253</v>
      </c>
      <c r="CW14" s="40">
        <v>0.254</v>
      </c>
      <c r="CX14" s="40">
        <v>0.252</v>
      </c>
      <c r="CY14" s="40">
        <v>0.248</v>
      </c>
      <c r="CZ14" s="40">
        <v>0.249</v>
      </c>
    </row>
    <row r="15" spans="1:104">
      <c r="A15" s="11">
        <v>0.25</v>
      </c>
      <c r="B15" s="62">
        <v>6.7199999999999996E-2</v>
      </c>
      <c r="C15" s="40">
        <v>6.0199999999999997E-2</v>
      </c>
      <c r="D15" s="40">
        <v>6.6699999999999995E-2</v>
      </c>
      <c r="E15" s="40">
        <v>6.3E-2</v>
      </c>
      <c r="F15" s="40">
        <v>6.4899999999999999E-2</v>
      </c>
      <c r="G15" s="40">
        <v>7.5300000000000006E-2</v>
      </c>
      <c r="H15" s="40">
        <v>7.7700000000000005E-2</v>
      </c>
      <c r="I15" s="40">
        <v>7.3200000000000001E-2</v>
      </c>
      <c r="J15" s="40">
        <v>7.4099999999999999E-2</v>
      </c>
      <c r="K15" s="40">
        <v>8.1799999999999998E-2</v>
      </c>
      <c r="L15" s="40">
        <v>7.4499999999999997E-2</v>
      </c>
      <c r="M15" s="40">
        <v>7.4399999999999994E-2</v>
      </c>
      <c r="N15" s="40">
        <v>7.4499999999999997E-2</v>
      </c>
      <c r="O15" s="40">
        <v>7.3599999999999999E-2</v>
      </c>
      <c r="P15" s="40">
        <v>7.2999999999999995E-2</v>
      </c>
      <c r="Q15" s="40">
        <v>8.2400000000000001E-2</v>
      </c>
      <c r="R15" s="40">
        <v>7.4800000000000005E-2</v>
      </c>
      <c r="S15" s="40">
        <v>8.1000000000000003E-2</v>
      </c>
      <c r="T15" s="40">
        <v>7.8700000000000006E-2</v>
      </c>
      <c r="U15" s="40">
        <v>8.1490000000000007E-2</v>
      </c>
      <c r="V15" s="40">
        <v>8.1809999999999994E-2</v>
      </c>
      <c r="W15" s="40">
        <v>8.3199999999999996E-2</v>
      </c>
      <c r="X15" s="40">
        <v>8.2400000000000001E-2</v>
      </c>
      <c r="Y15" s="40">
        <v>8.1699999999999995E-2</v>
      </c>
      <c r="Z15" s="40">
        <v>8.1030000000000005E-2</v>
      </c>
      <c r="AA15" s="40">
        <v>9.3200000000000005E-2</v>
      </c>
      <c r="AB15" s="40">
        <v>9.5500000000000002E-2</v>
      </c>
      <c r="AC15" s="40">
        <v>0.1096</v>
      </c>
      <c r="AD15" s="40">
        <v>0.1128</v>
      </c>
      <c r="AE15" s="40">
        <v>0.11347</v>
      </c>
      <c r="AF15" s="40">
        <v>0.11876</v>
      </c>
      <c r="AG15" s="40">
        <v>0.12189</v>
      </c>
      <c r="AH15" s="40">
        <v>0.12525</v>
      </c>
      <c r="AI15" s="40">
        <v>0.1356</v>
      </c>
      <c r="AJ15" s="40">
        <v>0.13678000000000001</v>
      </c>
      <c r="AK15" s="40">
        <v>0.14194999999999999</v>
      </c>
      <c r="AL15" s="40">
        <v>0.14785999999999999</v>
      </c>
      <c r="AM15" s="40">
        <v>0.14871000000000001</v>
      </c>
      <c r="AN15" s="40">
        <v>0.15140000000000001</v>
      </c>
      <c r="AO15" s="40">
        <v>0.156</v>
      </c>
      <c r="AP15" s="40">
        <v>0.16200000000000001</v>
      </c>
      <c r="AQ15" s="40">
        <v>0.1653</v>
      </c>
      <c r="AR15" s="40">
        <v>0.17599999999999999</v>
      </c>
      <c r="AS15" s="40">
        <v>0.18049999999999999</v>
      </c>
      <c r="AT15" s="40">
        <v>0.188</v>
      </c>
      <c r="AU15" s="40">
        <v>0.19173999999999999</v>
      </c>
      <c r="AV15" s="40">
        <v>0.19225999999999999</v>
      </c>
      <c r="AW15" s="40">
        <v>0.19500000000000001</v>
      </c>
      <c r="AX15" s="40">
        <v>0.19900000000000001</v>
      </c>
      <c r="AY15" s="40">
        <v>0.20469999999999999</v>
      </c>
      <c r="AZ15" s="40">
        <v>0.20402000000000001</v>
      </c>
      <c r="BA15" s="40">
        <v>0.2137</v>
      </c>
      <c r="BB15" s="40">
        <v>0.21640000000000001</v>
      </c>
      <c r="BC15" s="40">
        <v>0.22170000000000001</v>
      </c>
      <c r="BD15" s="40">
        <v>0.22506000000000001</v>
      </c>
      <c r="BE15" s="40">
        <v>0.22494</v>
      </c>
      <c r="BF15" s="40">
        <v>0.23080000000000001</v>
      </c>
      <c r="BG15" s="40">
        <v>0.2301</v>
      </c>
      <c r="BH15" s="40">
        <v>0.2326</v>
      </c>
      <c r="BI15" s="40">
        <v>0.23588999999999999</v>
      </c>
      <c r="BJ15" s="40">
        <v>0.23643</v>
      </c>
      <c r="BK15" s="40">
        <v>0.23648</v>
      </c>
      <c r="BL15" s="40">
        <v>0.23682</v>
      </c>
      <c r="BM15" s="40">
        <v>0.242671</v>
      </c>
      <c r="BN15" s="40">
        <v>0.24690999999999999</v>
      </c>
      <c r="BO15" s="40">
        <v>0.24737999999999999</v>
      </c>
      <c r="BP15" s="40">
        <v>0.24979999999999999</v>
      </c>
      <c r="BQ15" s="40">
        <v>0.25290000000000001</v>
      </c>
      <c r="BR15" s="40">
        <v>0.25440000000000002</v>
      </c>
      <c r="BS15" s="40">
        <v>0.25619999999999998</v>
      </c>
      <c r="BT15" s="40">
        <v>0.25835000000000002</v>
      </c>
      <c r="BU15" s="40">
        <v>0.25862000000000002</v>
      </c>
      <c r="BV15" s="40">
        <v>0.25884000000000001</v>
      </c>
      <c r="BW15" s="40">
        <v>0.25903999999999999</v>
      </c>
      <c r="BX15" s="40">
        <v>0.2606</v>
      </c>
      <c r="BY15" s="40">
        <v>0.25903999999999999</v>
      </c>
      <c r="BZ15" s="40">
        <v>0.262903</v>
      </c>
      <c r="CA15" s="40">
        <v>0.26479999999999998</v>
      </c>
      <c r="CB15" s="40">
        <v>0.26579999999999998</v>
      </c>
      <c r="CC15" s="40">
        <v>0.26740000000000003</v>
      </c>
      <c r="CD15" s="40">
        <v>0.26740000000000003</v>
      </c>
      <c r="CE15" s="40">
        <v>0.26600000000000001</v>
      </c>
      <c r="CF15" s="40">
        <v>0.26500000000000001</v>
      </c>
      <c r="CG15" s="40">
        <v>0.26540000000000002</v>
      </c>
      <c r="CH15" s="40">
        <v>0.26900000000000002</v>
      </c>
      <c r="CI15" s="40">
        <v>0.26900000000000002</v>
      </c>
      <c r="CJ15" s="40">
        <v>0.27</v>
      </c>
      <c r="CK15" s="40">
        <v>0.27339999999999998</v>
      </c>
      <c r="CL15" s="40">
        <v>0.27300000000000002</v>
      </c>
      <c r="CM15" s="40">
        <v>0.2742</v>
      </c>
      <c r="CN15" s="40">
        <v>0.27389999999999998</v>
      </c>
      <c r="CO15" s="40">
        <v>0.27560000000000001</v>
      </c>
      <c r="CP15" s="40">
        <v>0.27610000000000001</v>
      </c>
      <c r="CQ15" s="40">
        <v>0.27779999999999999</v>
      </c>
      <c r="CR15" s="40">
        <v>0.27710000000000001</v>
      </c>
      <c r="CS15" s="40">
        <v>0.27360000000000001</v>
      </c>
      <c r="CT15" s="40">
        <v>0.27689999999999998</v>
      </c>
      <c r="CU15" s="40">
        <v>0.27851999999999999</v>
      </c>
      <c r="CV15" s="40">
        <v>0.27750000000000002</v>
      </c>
      <c r="CW15" s="40">
        <v>0.2797</v>
      </c>
      <c r="CX15" s="40">
        <v>0.2782</v>
      </c>
      <c r="CY15" s="40">
        <v>0.28610000000000002</v>
      </c>
      <c r="CZ15" s="40">
        <v>0.27660000000000001</v>
      </c>
    </row>
    <row r="16" spans="1:104">
      <c r="A16" s="11">
        <v>0</v>
      </c>
      <c r="B16" s="62">
        <v>6.1199999999999997E-2</v>
      </c>
      <c r="C16" s="40">
        <v>6.1400000000000003E-2</v>
      </c>
      <c r="D16" s="40">
        <v>6.1699999999999998E-2</v>
      </c>
      <c r="E16" s="40">
        <v>6.4100000000000004E-2</v>
      </c>
      <c r="F16" s="40">
        <v>6.8000000000000005E-2</v>
      </c>
      <c r="G16" s="40">
        <v>7.0999999999999994E-2</v>
      </c>
      <c r="H16" s="40">
        <v>7.5499999999999998E-2</v>
      </c>
      <c r="I16" s="40">
        <v>7.9200000000000007E-2</v>
      </c>
      <c r="J16" s="40">
        <v>7.9100000000000004E-2</v>
      </c>
      <c r="K16" s="40">
        <v>7.9899999999999999E-2</v>
      </c>
      <c r="L16" s="40">
        <v>7.8850000000000003E-2</v>
      </c>
      <c r="M16" s="40">
        <v>8.4400000000000003E-2</v>
      </c>
      <c r="N16" s="40">
        <v>8.5000000000000006E-2</v>
      </c>
      <c r="O16" s="40">
        <v>8.3599999999999994E-2</v>
      </c>
      <c r="P16" s="40">
        <v>8.7300000000000003E-2</v>
      </c>
      <c r="Q16" s="40">
        <v>8.924E-2</v>
      </c>
      <c r="R16" s="40">
        <v>8.7480000000000002E-2</v>
      </c>
      <c r="S16" s="40">
        <v>8.8499999999999995E-2</v>
      </c>
      <c r="T16" s="40">
        <v>8.8700000000000001E-2</v>
      </c>
      <c r="U16" s="40">
        <v>8.949E-2</v>
      </c>
      <c r="V16" s="40">
        <v>9.0999999999999998E-2</v>
      </c>
      <c r="W16" s="40">
        <v>9.4320000000000001E-2</v>
      </c>
      <c r="X16" s="40">
        <v>9.4399999999999998E-2</v>
      </c>
      <c r="Y16" s="40">
        <v>0.107</v>
      </c>
      <c r="Z16" s="40">
        <v>0.111</v>
      </c>
      <c r="AA16" s="40">
        <v>0.12</v>
      </c>
      <c r="AB16" s="40">
        <v>0.1255</v>
      </c>
      <c r="AC16" s="40">
        <v>0.1396</v>
      </c>
      <c r="AD16" s="40">
        <v>0.13800000000000001</v>
      </c>
      <c r="AE16" s="40">
        <v>0.14699999999999999</v>
      </c>
      <c r="AF16" s="40">
        <v>0.14760000000000001</v>
      </c>
      <c r="AG16" s="40">
        <v>0.1489</v>
      </c>
      <c r="AH16" s="40">
        <v>0.1565</v>
      </c>
      <c r="AI16" s="40">
        <v>0.16200000000000001</v>
      </c>
      <c r="AJ16" s="40">
        <v>0.17499999999999999</v>
      </c>
      <c r="AK16" s="40">
        <v>0.17949999999999999</v>
      </c>
      <c r="AL16" s="40">
        <v>0.186</v>
      </c>
      <c r="AM16" s="40">
        <v>0.191</v>
      </c>
      <c r="AN16" s="40">
        <v>0.20100000000000001</v>
      </c>
      <c r="AO16" s="40">
        <v>0.20599999999999999</v>
      </c>
      <c r="AP16" s="40">
        <v>0.21032000000000001</v>
      </c>
      <c r="AQ16" s="40">
        <v>0.21299999999999999</v>
      </c>
      <c r="AR16" s="40">
        <v>0.21836</v>
      </c>
      <c r="AS16" s="40">
        <v>0.22500000000000001</v>
      </c>
      <c r="AT16" s="40">
        <v>0.22339999999999999</v>
      </c>
      <c r="AU16" s="40">
        <v>0.22939999999999999</v>
      </c>
      <c r="AV16" s="40">
        <v>0.2316</v>
      </c>
      <c r="AW16" s="40">
        <v>0.2349</v>
      </c>
      <c r="AX16" s="40">
        <v>0.246</v>
      </c>
      <c r="AY16" s="40">
        <v>0.247</v>
      </c>
      <c r="AZ16" s="40">
        <v>0.25019999999999998</v>
      </c>
      <c r="BA16" s="40">
        <v>0.25700000000000001</v>
      </c>
      <c r="BB16" s="40">
        <v>0.26</v>
      </c>
      <c r="BC16" s="40">
        <v>0.26700000000000002</v>
      </c>
      <c r="BD16" s="40">
        <v>0.27060000000000001</v>
      </c>
      <c r="BE16" s="40">
        <v>0.27939999999999998</v>
      </c>
      <c r="BF16" s="40">
        <v>0.28199999999999997</v>
      </c>
      <c r="BG16" s="40">
        <v>0.28410000000000002</v>
      </c>
      <c r="BH16" s="40">
        <v>0.28599999999999998</v>
      </c>
      <c r="BI16" s="40">
        <v>0.28889999999999999</v>
      </c>
      <c r="BJ16" s="40">
        <v>0.2843</v>
      </c>
      <c r="BK16" s="40">
        <v>0.29099999999999998</v>
      </c>
      <c r="BL16" s="40">
        <v>0.29199999999999998</v>
      </c>
      <c r="BM16" s="40">
        <v>0.29310000000000003</v>
      </c>
      <c r="BN16" s="40">
        <v>0.29310000000000003</v>
      </c>
      <c r="BO16" s="40">
        <v>0.29380000000000001</v>
      </c>
      <c r="BP16" s="40">
        <v>0.29677999999999999</v>
      </c>
      <c r="BQ16" s="40">
        <v>0.29899999999999999</v>
      </c>
      <c r="BR16" s="40">
        <v>0.30399999999999999</v>
      </c>
      <c r="BS16" s="40">
        <v>0.30199999999999999</v>
      </c>
      <c r="BT16" s="40">
        <v>0.30499999999999999</v>
      </c>
      <c r="BU16" s="40">
        <v>0.30819999999999997</v>
      </c>
      <c r="BV16" s="40">
        <v>0.307</v>
      </c>
      <c r="BW16" s="40">
        <v>0.31</v>
      </c>
      <c r="BX16" s="40">
        <v>0.309</v>
      </c>
      <c r="BY16" s="40">
        <v>0.31140000000000001</v>
      </c>
      <c r="BZ16" s="40">
        <v>0.312</v>
      </c>
      <c r="CA16" s="40">
        <v>0.312</v>
      </c>
      <c r="CB16" s="40">
        <v>0.313</v>
      </c>
      <c r="CC16" s="40">
        <v>0.312</v>
      </c>
      <c r="CD16" s="40">
        <v>0.314</v>
      </c>
      <c r="CE16" s="40">
        <v>0.315</v>
      </c>
      <c r="CF16" s="40">
        <v>0.316</v>
      </c>
      <c r="CG16" s="40">
        <v>0.31540000000000001</v>
      </c>
      <c r="CH16" s="40">
        <v>0.316</v>
      </c>
      <c r="CI16" s="40">
        <v>0.316</v>
      </c>
      <c r="CJ16" s="40">
        <v>0.314</v>
      </c>
      <c r="CK16" s="40">
        <v>0.315</v>
      </c>
      <c r="CL16" s="40">
        <v>0.31900000000000001</v>
      </c>
      <c r="CM16" s="40">
        <v>0.32</v>
      </c>
      <c r="CN16" s="40">
        <v>0.31900000000000001</v>
      </c>
      <c r="CO16" s="40">
        <v>0.31559999999999999</v>
      </c>
      <c r="CP16" s="40">
        <v>0.31609999999999999</v>
      </c>
      <c r="CQ16" s="40">
        <v>0.31780000000000003</v>
      </c>
      <c r="CR16" s="40">
        <v>0.31709999999999999</v>
      </c>
      <c r="CS16" s="40">
        <v>0.319936</v>
      </c>
      <c r="CT16" s="40">
        <v>0.32190000000000002</v>
      </c>
      <c r="CU16" s="40">
        <v>0.32052000000000003</v>
      </c>
      <c r="CV16" s="40">
        <v>0.32074999999999998</v>
      </c>
      <c r="CW16" s="40">
        <v>0.31969999999999998</v>
      </c>
      <c r="CX16" s="40">
        <v>0.31819999999999998</v>
      </c>
      <c r="CY16" s="40">
        <v>0.31609999999999999</v>
      </c>
      <c r="CZ16" s="40">
        <v>0.32066</v>
      </c>
    </row>
    <row r="17" spans="1:104">
      <c r="A17" s="11"/>
    </row>
    <row r="18" spans="1:104">
      <c r="A18" s="55" t="s">
        <v>118</v>
      </c>
      <c r="B18" s="1"/>
    </row>
    <row r="19" spans="1:104">
      <c r="A19" s="11"/>
      <c r="B19" t="s">
        <v>115</v>
      </c>
    </row>
    <row r="20" spans="1:104">
      <c r="A20" s="11" t="s">
        <v>116</v>
      </c>
      <c r="B20" s="61">
        <v>0</v>
      </c>
      <c r="C20" s="39">
        <v>80</v>
      </c>
      <c r="D20" s="39">
        <v>160</v>
      </c>
      <c r="E20" s="39">
        <v>310</v>
      </c>
      <c r="F20" s="39">
        <v>390</v>
      </c>
      <c r="G20" s="39">
        <v>470</v>
      </c>
      <c r="H20" s="39">
        <v>550</v>
      </c>
      <c r="I20" s="39">
        <v>630</v>
      </c>
      <c r="J20" s="39">
        <v>710</v>
      </c>
      <c r="K20" s="39">
        <v>790</v>
      </c>
      <c r="L20" s="39">
        <v>870</v>
      </c>
      <c r="M20" s="39">
        <v>950</v>
      </c>
      <c r="N20" s="39">
        <v>1030</v>
      </c>
      <c r="O20" s="39">
        <v>1110</v>
      </c>
      <c r="P20" s="39">
        <v>1190</v>
      </c>
      <c r="Q20" s="39">
        <v>1270</v>
      </c>
      <c r="R20" s="39">
        <v>1350</v>
      </c>
      <c r="S20" s="39">
        <v>1430</v>
      </c>
      <c r="T20" s="39">
        <v>1510</v>
      </c>
      <c r="U20" s="39">
        <v>1590</v>
      </c>
      <c r="V20" s="39">
        <v>1670</v>
      </c>
      <c r="W20" s="39">
        <v>1750</v>
      </c>
      <c r="X20" s="39">
        <v>1830</v>
      </c>
      <c r="Y20" s="39">
        <v>1910</v>
      </c>
      <c r="Z20" s="39">
        <v>1990</v>
      </c>
      <c r="AA20" s="39">
        <v>2070</v>
      </c>
      <c r="AB20" s="39">
        <v>2150</v>
      </c>
      <c r="AC20" s="39">
        <v>2230</v>
      </c>
      <c r="AD20" s="39">
        <v>2310</v>
      </c>
      <c r="AE20" s="39">
        <v>2390</v>
      </c>
      <c r="AF20" s="39">
        <v>2470</v>
      </c>
      <c r="AG20" s="39">
        <v>2550</v>
      </c>
      <c r="AH20" s="39">
        <v>2630</v>
      </c>
      <c r="AI20" s="39">
        <v>2710</v>
      </c>
      <c r="AJ20" s="39">
        <v>2790</v>
      </c>
      <c r="AK20" s="39">
        <v>2870</v>
      </c>
      <c r="AL20" s="39">
        <v>2950</v>
      </c>
      <c r="AM20" s="39">
        <v>3030</v>
      </c>
      <c r="AN20" s="39">
        <v>3110</v>
      </c>
      <c r="AO20" s="39">
        <v>3190</v>
      </c>
      <c r="AP20" s="39">
        <v>3270</v>
      </c>
      <c r="AQ20" s="39">
        <v>3350</v>
      </c>
      <c r="AR20" s="39">
        <v>3430</v>
      </c>
      <c r="AS20" s="39">
        <v>3510</v>
      </c>
      <c r="AT20" s="39">
        <v>3590</v>
      </c>
      <c r="AU20" s="39">
        <v>3670</v>
      </c>
      <c r="AV20" s="39">
        <v>3750</v>
      </c>
      <c r="AW20" s="39">
        <v>3830</v>
      </c>
      <c r="AX20" s="39">
        <v>3910</v>
      </c>
      <c r="AY20" s="39">
        <v>3990</v>
      </c>
      <c r="AZ20" s="39">
        <v>4070</v>
      </c>
      <c r="BA20" s="39">
        <v>4150</v>
      </c>
      <c r="BB20" s="39">
        <v>4230</v>
      </c>
      <c r="BC20" s="39">
        <v>4310</v>
      </c>
      <c r="BD20" s="39">
        <v>4390</v>
      </c>
      <c r="BE20" s="39">
        <v>4470</v>
      </c>
      <c r="BF20" s="39">
        <v>4550</v>
      </c>
      <c r="BG20" s="39">
        <v>4630</v>
      </c>
      <c r="BH20" s="39">
        <v>4710</v>
      </c>
      <c r="BI20" s="39">
        <v>4790</v>
      </c>
      <c r="BJ20" s="39">
        <v>4870</v>
      </c>
      <c r="BK20" s="39">
        <v>4950</v>
      </c>
      <c r="BL20" s="39">
        <v>5030</v>
      </c>
      <c r="BM20" s="39">
        <v>5110</v>
      </c>
      <c r="BN20" s="39">
        <v>5230</v>
      </c>
      <c r="BO20" s="39">
        <v>5350</v>
      </c>
      <c r="BP20" s="39">
        <v>5470</v>
      </c>
      <c r="BQ20" s="39">
        <v>5590</v>
      </c>
      <c r="BR20" s="39">
        <v>5710</v>
      </c>
      <c r="BS20" s="39">
        <v>5830</v>
      </c>
      <c r="BT20" s="39">
        <v>5950</v>
      </c>
      <c r="BU20" s="39">
        <v>6070</v>
      </c>
      <c r="BV20" s="39">
        <v>6190</v>
      </c>
      <c r="BW20" s="39">
        <v>6310</v>
      </c>
      <c r="BX20" s="39">
        <v>6430</v>
      </c>
      <c r="BY20" s="39">
        <v>6550</v>
      </c>
      <c r="BZ20" s="39">
        <v>6670</v>
      </c>
      <c r="CA20" s="39">
        <v>6790</v>
      </c>
      <c r="CB20" s="39">
        <v>6910</v>
      </c>
      <c r="CC20" s="39">
        <v>7030</v>
      </c>
      <c r="CD20" s="39">
        <v>7150</v>
      </c>
      <c r="CE20" s="39">
        <v>7270</v>
      </c>
      <c r="CF20" s="39">
        <v>7390</v>
      </c>
      <c r="CG20" s="39">
        <v>7510</v>
      </c>
      <c r="CH20" s="39">
        <v>7630</v>
      </c>
      <c r="CI20" s="39">
        <v>7750</v>
      </c>
      <c r="CJ20" s="39">
        <v>7870</v>
      </c>
      <c r="CK20" s="39">
        <v>7990</v>
      </c>
      <c r="CL20" s="39">
        <v>8110</v>
      </c>
      <c r="CM20" s="39">
        <v>8230</v>
      </c>
      <c r="CN20" s="39">
        <v>8350</v>
      </c>
      <c r="CO20" s="39">
        <v>8470</v>
      </c>
      <c r="CP20" s="39">
        <v>8590</v>
      </c>
      <c r="CQ20" s="39">
        <v>8710</v>
      </c>
      <c r="CR20" s="39">
        <v>8830</v>
      </c>
      <c r="CS20" s="39">
        <v>8950</v>
      </c>
      <c r="CT20" s="39">
        <v>9070</v>
      </c>
      <c r="CU20" s="39">
        <v>9190</v>
      </c>
      <c r="CV20" s="39">
        <v>9310</v>
      </c>
      <c r="CW20" s="39">
        <v>9430</v>
      </c>
      <c r="CX20" s="39">
        <v>9550</v>
      </c>
      <c r="CY20" s="39">
        <v>9670</v>
      </c>
      <c r="CZ20" s="39">
        <v>9790</v>
      </c>
    </row>
    <row r="21" spans="1:104">
      <c r="A21" s="11">
        <v>0</v>
      </c>
      <c r="B21" s="62">
        <v>8.4099999999999994E-2</v>
      </c>
      <c r="C21" s="38">
        <v>8.5300000000000001E-2</v>
      </c>
      <c r="D21" s="38">
        <v>8.1799999999999998E-2</v>
      </c>
      <c r="E21" s="38">
        <v>8.1699999999999995E-2</v>
      </c>
      <c r="F21" s="38">
        <v>8.2100000000000006E-2</v>
      </c>
      <c r="G21" s="38">
        <v>8.4099999999999994E-2</v>
      </c>
      <c r="H21" s="38">
        <v>8.4199999999999997E-2</v>
      </c>
      <c r="I21" s="38">
        <v>8.9399999999999993E-2</v>
      </c>
      <c r="J21" s="38">
        <v>8.8099999999999998E-2</v>
      </c>
      <c r="K21" s="38">
        <v>8.8700000000000001E-2</v>
      </c>
      <c r="L21" s="38">
        <v>8.9399999999999993E-2</v>
      </c>
      <c r="M21" s="38">
        <v>8.8700000000000001E-2</v>
      </c>
      <c r="N21" s="38">
        <v>8.9499999999999996E-2</v>
      </c>
      <c r="O21" s="38">
        <v>8.8999999999999996E-2</v>
      </c>
      <c r="P21" s="38">
        <v>9.1700000000000004E-2</v>
      </c>
      <c r="Q21" s="38">
        <v>9.0399999999999994E-2</v>
      </c>
      <c r="R21" s="38">
        <v>9.1700000000000004E-2</v>
      </c>
      <c r="S21" s="38">
        <v>9.3600000000000003E-2</v>
      </c>
      <c r="T21" s="38">
        <v>9.5200000000000007E-2</v>
      </c>
      <c r="U21" s="38">
        <v>9.7100000000000006E-2</v>
      </c>
      <c r="V21" s="38">
        <v>0.1033</v>
      </c>
      <c r="W21" s="38">
        <v>0.1061</v>
      </c>
      <c r="X21" s="38">
        <v>0.11119999999999999</v>
      </c>
      <c r="Y21" s="38">
        <v>0.1149</v>
      </c>
      <c r="Z21" s="38">
        <v>0.1164</v>
      </c>
      <c r="AA21" s="38">
        <v>0.12130000000000001</v>
      </c>
      <c r="AB21" s="38">
        <v>0.12640000000000001</v>
      </c>
      <c r="AC21" s="38">
        <v>0.13320000000000001</v>
      </c>
      <c r="AD21" s="38">
        <v>0.1313</v>
      </c>
      <c r="AE21" s="38">
        <v>0.1406</v>
      </c>
      <c r="AF21" s="38">
        <v>0.1459</v>
      </c>
      <c r="AG21" s="38">
        <v>0.1492</v>
      </c>
      <c r="AH21" s="38">
        <v>0.14680000000000001</v>
      </c>
      <c r="AI21" s="38">
        <v>0.14899999999999999</v>
      </c>
      <c r="AJ21" s="38">
        <v>0.1515</v>
      </c>
      <c r="AK21" s="38">
        <v>0.15670000000000001</v>
      </c>
      <c r="AL21" s="38">
        <v>0.16139999999999999</v>
      </c>
      <c r="AM21" s="38">
        <v>0.1641</v>
      </c>
      <c r="AN21" s="38">
        <v>0.1691</v>
      </c>
      <c r="AO21" s="38">
        <v>0.1734</v>
      </c>
      <c r="AP21" s="38">
        <v>0.17499999999999999</v>
      </c>
      <c r="AQ21" s="38">
        <v>0.17699999999999999</v>
      </c>
      <c r="AR21" s="38">
        <v>0.1812</v>
      </c>
      <c r="AS21" s="38">
        <v>0.18240000000000001</v>
      </c>
      <c r="AT21" s="38">
        <v>0.18779999999999999</v>
      </c>
      <c r="AU21" s="38">
        <v>0.19589999999999999</v>
      </c>
      <c r="AV21" s="38">
        <v>0.1946</v>
      </c>
      <c r="AW21" s="38">
        <v>0.20050000000000001</v>
      </c>
      <c r="AX21" s="38">
        <v>0.19620000000000001</v>
      </c>
      <c r="AY21" s="38">
        <v>0.20630000000000001</v>
      </c>
      <c r="AZ21" s="38">
        <v>0.2034</v>
      </c>
      <c r="BA21" s="38">
        <v>0.2054</v>
      </c>
      <c r="BB21" s="38">
        <v>0.20630000000000001</v>
      </c>
      <c r="BC21" s="38">
        <v>0.20780000000000001</v>
      </c>
      <c r="BD21" s="38">
        <v>0.21310000000000001</v>
      </c>
      <c r="BE21" s="38">
        <v>0.21060000000000001</v>
      </c>
      <c r="BF21" s="38">
        <v>0.2122</v>
      </c>
      <c r="BG21" s="38">
        <v>0.21410000000000001</v>
      </c>
      <c r="BH21" s="38">
        <v>0.22370000000000001</v>
      </c>
      <c r="BI21" s="38">
        <v>0.21820000000000001</v>
      </c>
      <c r="BJ21" s="38">
        <v>0.21940000000000001</v>
      </c>
      <c r="BK21" s="38">
        <v>0.2205</v>
      </c>
      <c r="BL21" s="38">
        <v>0.22700000000000001</v>
      </c>
      <c r="BM21" s="38">
        <v>0.22040000000000001</v>
      </c>
      <c r="BN21" s="38">
        <v>0.2225</v>
      </c>
      <c r="BO21" s="38">
        <v>0.22459999999999999</v>
      </c>
      <c r="BP21" s="38">
        <v>0.22500000000000001</v>
      </c>
      <c r="BQ21" s="38">
        <v>0.22559999999999999</v>
      </c>
      <c r="BR21" s="38">
        <v>0.2276</v>
      </c>
      <c r="BS21" s="38">
        <v>0.23719999999999999</v>
      </c>
      <c r="BT21" s="38">
        <v>0.23039999999999999</v>
      </c>
      <c r="BU21" s="38">
        <v>0.22950000000000001</v>
      </c>
      <c r="BV21" s="38">
        <v>0.23469999999999999</v>
      </c>
      <c r="BW21" s="38">
        <v>0.2334</v>
      </c>
      <c r="BX21" s="38">
        <v>0.2349</v>
      </c>
      <c r="BY21" s="38">
        <v>0.23669999999999999</v>
      </c>
      <c r="BZ21" s="38">
        <v>0.2394</v>
      </c>
      <c r="CA21" s="38">
        <v>0.2397</v>
      </c>
      <c r="CB21" s="38">
        <v>0.23569999999999999</v>
      </c>
      <c r="CC21" s="38">
        <v>0.24299999999999999</v>
      </c>
      <c r="CD21" s="38">
        <v>0.24079999999999999</v>
      </c>
      <c r="CE21" s="38">
        <v>0.2422</v>
      </c>
      <c r="CF21" s="38">
        <v>0.2487</v>
      </c>
      <c r="CG21" s="38">
        <v>0.23860000000000001</v>
      </c>
      <c r="CH21" s="38">
        <v>0.2409</v>
      </c>
      <c r="CI21" s="38">
        <v>0.2407</v>
      </c>
      <c r="CJ21" s="38">
        <v>0.2414</v>
      </c>
      <c r="CK21" s="38">
        <v>0.2445</v>
      </c>
      <c r="CL21" s="38">
        <v>0.2429</v>
      </c>
      <c r="CM21" s="38">
        <v>0.24390000000000001</v>
      </c>
      <c r="CN21" s="38">
        <v>0.2409</v>
      </c>
      <c r="CO21" s="38">
        <v>0.24540000000000001</v>
      </c>
      <c r="CP21" s="38">
        <v>0.24460000000000001</v>
      </c>
      <c r="CQ21" s="38">
        <v>0.24410000000000001</v>
      </c>
      <c r="CR21" s="38">
        <v>0.24260000000000001</v>
      </c>
      <c r="CS21" s="38">
        <v>0.2422</v>
      </c>
      <c r="CT21" s="38">
        <v>0.245</v>
      </c>
      <c r="CU21" s="38">
        <v>0.2442</v>
      </c>
      <c r="CV21" s="38">
        <v>0.24099999999999999</v>
      </c>
      <c r="CW21" s="38">
        <v>0.24199999999999999</v>
      </c>
      <c r="CX21" s="38">
        <v>0.24399999999999999</v>
      </c>
      <c r="CY21" s="38">
        <v>0.24099999999999999</v>
      </c>
      <c r="CZ21" s="38">
        <v>0.24199999999999999</v>
      </c>
    </row>
    <row r="22" spans="1:104">
      <c r="A22" s="11">
        <v>0.25</v>
      </c>
      <c r="B22" s="62">
        <v>8.6999999999999994E-2</v>
      </c>
      <c r="C22" s="38">
        <v>8.8099999999999998E-2</v>
      </c>
      <c r="D22" s="38">
        <v>8.8349999999999998E-2</v>
      </c>
      <c r="E22" s="38">
        <v>9.0999999999999998E-2</v>
      </c>
      <c r="F22" s="38">
        <v>9.1300000000000006E-2</v>
      </c>
      <c r="G22" s="38">
        <v>9.1508999999999993E-2</v>
      </c>
      <c r="H22" s="38">
        <v>9.1700000000000004E-2</v>
      </c>
      <c r="I22" s="38">
        <v>9.2399999999999996E-2</v>
      </c>
      <c r="J22" s="38">
        <v>9.2700000000000005E-2</v>
      </c>
      <c r="K22" s="38">
        <v>9.3399999999999997E-2</v>
      </c>
      <c r="L22" s="38">
        <v>9.9000000000000005E-2</v>
      </c>
      <c r="M22" s="38">
        <v>0.105</v>
      </c>
      <c r="N22" s="38">
        <v>0.1067</v>
      </c>
      <c r="O22" s="38">
        <v>0.108</v>
      </c>
      <c r="P22" s="38">
        <v>0.11</v>
      </c>
      <c r="Q22" s="38">
        <v>0.113</v>
      </c>
      <c r="R22" s="38">
        <v>0.113</v>
      </c>
      <c r="S22" s="38">
        <v>0.1142</v>
      </c>
      <c r="T22" s="38">
        <v>0.11559999999999999</v>
      </c>
      <c r="U22" s="38">
        <v>0.11700000000000001</v>
      </c>
      <c r="V22" s="38">
        <v>0.1181</v>
      </c>
      <c r="W22" s="38">
        <v>0.11899999999999999</v>
      </c>
      <c r="X22" s="38">
        <v>0.12180000000000001</v>
      </c>
      <c r="Y22" s="38">
        <v>0.12379999999999999</v>
      </c>
      <c r="Z22" s="38">
        <v>0.1242</v>
      </c>
      <c r="AA22" s="38">
        <v>0.126</v>
      </c>
      <c r="AB22" s="38">
        <v>0.127</v>
      </c>
      <c r="AC22" s="38">
        <v>0.128</v>
      </c>
      <c r="AD22" s="38">
        <v>0.129</v>
      </c>
      <c r="AE22" s="38">
        <v>0.13400000000000001</v>
      </c>
      <c r="AF22" s="38">
        <v>0.13900000000000001</v>
      </c>
      <c r="AG22" s="38">
        <v>0.14000000000000001</v>
      </c>
      <c r="AH22" s="38">
        <v>0.1439</v>
      </c>
      <c r="AI22" s="38">
        <v>0.14399999999999999</v>
      </c>
      <c r="AJ22" s="38">
        <v>0.14599999999999999</v>
      </c>
      <c r="AK22" s="38">
        <v>0.14799999999999999</v>
      </c>
      <c r="AL22" s="38">
        <v>0.15</v>
      </c>
      <c r="AM22" s="38">
        <v>0.15229999999999999</v>
      </c>
      <c r="AN22" s="38">
        <v>0.15240000000000001</v>
      </c>
      <c r="AO22" s="38">
        <v>0.15409999999999999</v>
      </c>
      <c r="AP22" s="38">
        <v>0.158</v>
      </c>
      <c r="AQ22" s="38">
        <v>0.1638</v>
      </c>
      <c r="AR22" s="38">
        <v>0.16600000000000001</v>
      </c>
      <c r="AS22" s="38">
        <v>0.16713</v>
      </c>
      <c r="AT22" s="38">
        <v>0.17100000000000001</v>
      </c>
      <c r="AU22" s="38">
        <v>0.17280000000000001</v>
      </c>
      <c r="AV22" s="38">
        <v>0.17369999999999999</v>
      </c>
      <c r="AW22" s="38">
        <v>0.17799999999999999</v>
      </c>
      <c r="AX22" s="38">
        <v>0.18</v>
      </c>
      <c r="AY22" s="38">
        <v>0.184</v>
      </c>
      <c r="AZ22" s="38">
        <v>0.186</v>
      </c>
      <c r="BA22" s="38">
        <v>0.18709999999999999</v>
      </c>
      <c r="BB22" s="38">
        <v>0.18976299999999999</v>
      </c>
      <c r="BC22" s="38">
        <v>0.19209999999999999</v>
      </c>
      <c r="BD22" s="38">
        <v>0.19400000000000001</v>
      </c>
      <c r="BE22" s="38">
        <v>0.19481000000000001</v>
      </c>
      <c r="BF22" s="38">
        <v>0.19850000000000001</v>
      </c>
      <c r="BG22" s="38">
        <v>0.19869999999999999</v>
      </c>
      <c r="BH22" s="38">
        <v>0.19889999999999999</v>
      </c>
      <c r="BI22" s="38">
        <v>0.2031</v>
      </c>
      <c r="BJ22" s="38">
        <v>0.20499999999999999</v>
      </c>
      <c r="BK22" s="38">
        <v>0.20699999999999999</v>
      </c>
      <c r="BL22" s="38">
        <v>0.20799999999999999</v>
      </c>
      <c r="BM22" s="38">
        <v>0.20899999999999999</v>
      </c>
      <c r="BN22" s="38">
        <v>0.21</v>
      </c>
      <c r="BO22" s="38">
        <v>0.21299999999999999</v>
      </c>
      <c r="BP22" s="38">
        <v>0.21523</v>
      </c>
      <c r="BQ22" s="38">
        <v>0.21621000000000001</v>
      </c>
      <c r="BR22" s="38">
        <v>0.21634</v>
      </c>
      <c r="BS22" s="38">
        <v>0.21729999999999999</v>
      </c>
      <c r="BT22" s="38">
        <v>0.21740000000000001</v>
      </c>
      <c r="BU22" s="38">
        <v>0.2175</v>
      </c>
      <c r="BV22" s="38">
        <v>0.21990000000000001</v>
      </c>
      <c r="BW22" s="38">
        <v>0.21990000000000001</v>
      </c>
      <c r="BX22" s="38">
        <v>0.22</v>
      </c>
      <c r="BY22" s="38">
        <v>0.221555</v>
      </c>
      <c r="BZ22" s="38">
        <v>0.2215</v>
      </c>
      <c r="CA22" s="38">
        <v>0.22242000000000001</v>
      </c>
      <c r="CB22" s="38">
        <v>0.2223</v>
      </c>
      <c r="CC22" s="38">
        <v>0.22259999999999999</v>
      </c>
      <c r="CD22" s="38">
        <v>0.22239999999999999</v>
      </c>
      <c r="CE22" s="38">
        <v>0.22700000000000001</v>
      </c>
      <c r="CF22" s="38">
        <v>0.22234000000000001</v>
      </c>
      <c r="CG22" s="38">
        <v>0.22283</v>
      </c>
      <c r="CH22" s="38">
        <v>0.22800000000000001</v>
      </c>
      <c r="CI22" s="38">
        <v>0.23</v>
      </c>
      <c r="CJ22" s="38">
        <v>0.22900000000000001</v>
      </c>
      <c r="CK22" s="38">
        <v>0.23200000000000001</v>
      </c>
      <c r="CL22" s="38">
        <v>0.23100000000000001</v>
      </c>
      <c r="CM22" s="38">
        <v>0.23100999999999999</v>
      </c>
      <c r="CN22" s="38">
        <v>0.23116400000000001</v>
      </c>
      <c r="CO22" s="38">
        <v>0.2311</v>
      </c>
      <c r="CP22" s="38">
        <v>0.2321</v>
      </c>
      <c r="CQ22" s="38">
        <v>0.23269999999999999</v>
      </c>
      <c r="CR22" s="38">
        <v>0.23358000000000001</v>
      </c>
      <c r="CS22" s="38">
        <v>0.23214090000000001</v>
      </c>
      <c r="CT22" s="38">
        <v>0.231686</v>
      </c>
      <c r="CU22" s="38">
        <v>0.232015</v>
      </c>
      <c r="CV22" s="38">
        <v>0.2329</v>
      </c>
      <c r="CW22" s="38">
        <v>0.23200000000000001</v>
      </c>
      <c r="CX22" s="38">
        <v>0.23169999999999999</v>
      </c>
      <c r="CY22" s="38">
        <v>0.23250000000000001</v>
      </c>
      <c r="CZ22" s="38">
        <v>0.23300000000000001</v>
      </c>
    </row>
    <row r="23" spans="1:104">
      <c r="A23" s="11">
        <v>0.5</v>
      </c>
      <c r="B23" s="62">
        <v>8.5999999999999993E-2</v>
      </c>
      <c r="C23" s="38">
        <v>8.7099999999999997E-2</v>
      </c>
      <c r="D23" s="38">
        <v>8.7349999999999997E-2</v>
      </c>
      <c r="E23" s="38">
        <v>8.9099999999999999E-2</v>
      </c>
      <c r="F23" s="38">
        <v>8.9889999999999998E-2</v>
      </c>
      <c r="G23" s="38">
        <v>8.9509000000000005E-2</v>
      </c>
      <c r="H23" s="38">
        <v>9.1316999999999995E-2</v>
      </c>
      <c r="I23" s="38">
        <v>9.1700000000000004E-2</v>
      </c>
      <c r="J23" s="38">
        <v>9.2329999999999995E-2</v>
      </c>
      <c r="K23" s="38">
        <v>9.2499999999999999E-2</v>
      </c>
      <c r="L23" s="38">
        <v>9.6420000000000006E-2</v>
      </c>
      <c r="M23" s="38">
        <v>9.7500000000000003E-2</v>
      </c>
      <c r="N23" s="38">
        <v>9.6699999999999994E-2</v>
      </c>
      <c r="O23" s="38">
        <v>9.8000000000000004E-2</v>
      </c>
      <c r="P23" s="38">
        <v>0.10100000000000001</v>
      </c>
      <c r="Q23" s="38">
        <v>0.10299999999999999</v>
      </c>
      <c r="R23" s="38">
        <v>0.10299999999999999</v>
      </c>
      <c r="S23" s="38">
        <v>0.1012</v>
      </c>
      <c r="T23" s="38">
        <v>0.106</v>
      </c>
      <c r="U23" s="38">
        <v>0.1086</v>
      </c>
      <c r="V23" s="38">
        <v>0.1071</v>
      </c>
      <c r="W23" s="38">
        <v>0.11</v>
      </c>
      <c r="X23" s="38">
        <v>0.1148</v>
      </c>
      <c r="Y23" s="38">
        <v>0.11799999999999999</v>
      </c>
      <c r="Z23" s="38">
        <v>0.1192</v>
      </c>
      <c r="AA23" s="38">
        <v>0.12</v>
      </c>
      <c r="AB23" s="38">
        <v>0.121</v>
      </c>
      <c r="AC23" s="38">
        <v>0.1239</v>
      </c>
      <c r="AD23" s="38">
        <v>0.12520000000000001</v>
      </c>
      <c r="AE23" s="38">
        <v>0.13100000000000001</v>
      </c>
      <c r="AF23" s="38">
        <v>0.13700000000000001</v>
      </c>
      <c r="AG23" s="38">
        <v>0.13800000000000001</v>
      </c>
      <c r="AH23" s="38">
        <v>0.13900000000000001</v>
      </c>
      <c r="AI23" s="38">
        <v>0.14000000000000001</v>
      </c>
      <c r="AJ23" s="38">
        <v>0.14099999999999999</v>
      </c>
      <c r="AK23" s="38">
        <v>0.14299999999999999</v>
      </c>
      <c r="AL23" s="38">
        <v>0.14410000000000001</v>
      </c>
      <c r="AM23" s="38">
        <v>0.14799999999999999</v>
      </c>
      <c r="AN23" s="38">
        <v>0.14899999999999999</v>
      </c>
      <c r="AO23" s="38">
        <v>0.15</v>
      </c>
      <c r="AP23" s="38">
        <v>0.152</v>
      </c>
      <c r="AQ23" s="38">
        <v>0.15379999999999999</v>
      </c>
      <c r="AR23" s="38">
        <v>0.15495999999999999</v>
      </c>
      <c r="AS23" s="38">
        <v>0.15712999999999999</v>
      </c>
      <c r="AT23" s="38">
        <v>0.158</v>
      </c>
      <c r="AU23" s="38">
        <v>0.1598</v>
      </c>
      <c r="AV23" s="38">
        <v>0.16370000000000001</v>
      </c>
      <c r="AW23" s="38">
        <v>0.16850000000000001</v>
      </c>
      <c r="AX23" s="38">
        <v>0.16769999999999999</v>
      </c>
      <c r="AY23" s="38">
        <v>0.17</v>
      </c>
      <c r="AZ23" s="38">
        <v>0.1731</v>
      </c>
      <c r="BA23" s="38">
        <v>0.17471</v>
      </c>
      <c r="BB23" s="38">
        <v>0.17630000000000001</v>
      </c>
      <c r="BC23" s="38">
        <v>0.17810000000000001</v>
      </c>
      <c r="BD23" s="38">
        <v>0.18</v>
      </c>
      <c r="BE23" s="38">
        <v>0.18099999999999999</v>
      </c>
      <c r="BF23" s="38">
        <v>0.185</v>
      </c>
      <c r="BG23" s="38">
        <v>0.187</v>
      </c>
      <c r="BH23" s="38">
        <v>0.189</v>
      </c>
      <c r="BI23" s="38">
        <v>0.191</v>
      </c>
      <c r="BJ23" s="38">
        <v>0.192</v>
      </c>
      <c r="BK23" s="38">
        <v>0.1923</v>
      </c>
      <c r="BL23" s="38">
        <v>0.19350000000000001</v>
      </c>
      <c r="BM23" s="38">
        <v>0.19516</v>
      </c>
      <c r="BN23" s="38">
        <v>0.19525999999999999</v>
      </c>
      <c r="BO23" s="38">
        <v>0.19605</v>
      </c>
      <c r="BP23" s="38">
        <v>0.19522999999999999</v>
      </c>
      <c r="BQ23" s="38">
        <v>0.19621</v>
      </c>
      <c r="BR23" s="38">
        <v>0.19633999999999999</v>
      </c>
      <c r="BS23" s="38">
        <v>0.19722999999999999</v>
      </c>
      <c r="BT23" s="38">
        <v>0.19739999999999999</v>
      </c>
      <c r="BU23" s="38">
        <v>0.19750000000000001</v>
      </c>
      <c r="BV23" s="38">
        <v>0.19900000000000001</v>
      </c>
      <c r="BW23" s="38">
        <v>0.19900000000000001</v>
      </c>
      <c r="BX23" s="38">
        <v>0.2</v>
      </c>
      <c r="BY23" s="38">
        <v>0.20555000000000001</v>
      </c>
      <c r="BZ23" s="38">
        <v>0.20150000000000001</v>
      </c>
      <c r="CA23" s="38">
        <v>0.20419999999999999</v>
      </c>
      <c r="CB23" s="38">
        <v>0.20300000000000001</v>
      </c>
      <c r="CC23" s="38">
        <v>0.2026</v>
      </c>
      <c r="CD23" s="38">
        <v>0.2054</v>
      </c>
      <c r="CE23" s="38">
        <v>0.20699999999999999</v>
      </c>
      <c r="CF23" s="38">
        <v>0.20399999999999999</v>
      </c>
      <c r="CG23" s="38">
        <v>0.20830000000000001</v>
      </c>
      <c r="CH23" s="38">
        <v>0.20949999999999999</v>
      </c>
      <c r="CI23" s="38">
        <v>0.20910000000000001</v>
      </c>
      <c r="CJ23" s="38">
        <v>0.20910000000000001</v>
      </c>
      <c r="CK23" s="38">
        <v>0.2094</v>
      </c>
      <c r="CL23" s="38">
        <v>0.21</v>
      </c>
      <c r="CM23" s="38">
        <v>0.21010000000000001</v>
      </c>
      <c r="CN23" s="38">
        <v>0.21163999999999999</v>
      </c>
      <c r="CO23" s="38">
        <v>0.21099999999999999</v>
      </c>
      <c r="CP23" s="38">
        <v>0.21210000000000001</v>
      </c>
      <c r="CQ23" s="38">
        <v>0.2127</v>
      </c>
      <c r="CR23" s="38">
        <v>0.21579999999999999</v>
      </c>
      <c r="CS23" s="38">
        <v>0.21409</v>
      </c>
      <c r="CT23" s="38">
        <v>0.21686</v>
      </c>
      <c r="CU23" s="38">
        <v>0.21715000000000001</v>
      </c>
      <c r="CV23" s="38">
        <v>0.21718999999999999</v>
      </c>
      <c r="CW23" s="38">
        <v>0.2167</v>
      </c>
      <c r="CX23" s="38">
        <v>0.217</v>
      </c>
      <c r="CY23" s="38">
        <v>0.21725</v>
      </c>
      <c r="CZ23" s="38">
        <v>0.21733</v>
      </c>
    </row>
    <row r="24" spans="1:104">
      <c r="A24" s="11">
        <v>1</v>
      </c>
      <c r="B24" s="62">
        <v>9.6000000000000002E-2</v>
      </c>
      <c r="C24" s="38">
        <v>9.9099999999999994E-2</v>
      </c>
      <c r="D24" s="38">
        <v>0.10349999999999999</v>
      </c>
      <c r="E24" s="38">
        <v>0.10009999999999999</v>
      </c>
      <c r="F24" s="38">
        <v>9.8900000000000002E-2</v>
      </c>
      <c r="G24" s="38">
        <v>0.1009</v>
      </c>
      <c r="H24" s="38">
        <v>0.1017</v>
      </c>
      <c r="I24" s="38">
        <v>0.107</v>
      </c>
      <c r="J24" s="38">
        <v>0.1033</v>
      </c>
      <c r="K24" s="38">
        <v>0.104</v>
      </c>
      <c r="L24" s="38">
        <v>0.1042</v>
      </c>
      <c r="M24" s="38">
        <v>0.1055</v>
      </c>
      <c r="N24" s="38">
        <v>0.1067</v>
      </c>
      <c r="O24" s="38">
        <v>0.10780000000000001</v>
      </c>
      <c r="P24" s="38">
        <v>0.1099</v>
      </c>
      <c r="Q24" s="38">
        <v>0.10970000000000001</v>
      </c>
      <c r="R24" s="38">
        <v>0.113</v>
      </c>
      <c r="S24" s="38">
        <v>0.11119999999999999</v>
      </c>
      <c r="T24" s="38">
        <v>0.1123</v>
      </c>
      <c r="U24" s="38">
        <v>0.11459999999999999</v>
      </c>
      <c r="V24" s="38">
        <v>0.1171</v>
      </c>
      <c r="W24" s="38">
        <v>0.1191</v>
      </c>
      <c r="X24" s="38">
        <v>0.1208</v>
      </c>
      <c r="Y24" s="38">
        <v>0.12180000000000001</v>
      </c>
      <c r="Z24" s="38">
        <v>0.122</v>
      </c>
      <c r="AA24" s="38">
        <v>0.1235</v>
      </c>
      <c r="AB24" s="38">
        <v>0.1249</v>
      </c>
      <c r="AC24" s="38">
        <v>0.1326</v>
      </c>
      <c r="AD24" s="38">
        <v>0.12520000000000001</v>
      </c>
      <c r="AE24" s="38">
        <v>0.12770000000000001</v>
      </c>
      <c r="AF24" s="38">
        <v>0.1278</v>
      </c>
      <c r="AG24" s="38">
        <v>0.13109999999999999</v>
      </c>
      <c r="AH24" s="38">
        <v>0.1232</v>
      </c>
      <c r="AI24" s="38">
        <v>0.13289999999999999</v>
      </c>
      <c r="AJ24" s="38">
        <v>0.13020000000000001</v>
      </c>
      <c r="AK24" s="38">
        <v>0.13300000000000001</v>
      </c>
      <c r="AL24" s="38">
        <v>0.1341</v>
      </c>
      <c r="AM24" s="38">
        <v>0.13420000000000001</v>
      </c>
      <c r="AN24" s="38">
        <v>0.13600000000000001</v>
      </c>
      <c r="AO24" s="38">
        <v>0.13539999999999999</v>
      </c>
      <c r="AP24" s="38">
        <v>0.13639999999999999</v>
      </c>
      <c r="AQ24" s="38">
        <v>0.13800000000000001</v>
      </c>
      <c r="AR24" s="38">
        <v>0.1396</v>
      </c>
      <c r="AS24" s="38">
        <v>0.14130000000000001</v>
      </c>
      <c r="AT24" s="38">
        <v>0.14280000000000001</v>
      </c>
      <c r="AU24" s="38">
        <v>0.14799999999999999</v>
      </c>
      <c r="AV24" s="38">
        <v>0.14269999999999999</v>
      </c>
      <c r="AW24" s="38">
        <v>0.14849999999999999</v>
      </c>
      <c r="AX24" s="38">
        <v>0.14269999999999999</v>
      </c>
      <c r="AY24" s="38">
        <v>0.15010000000000001</v>
      </c>
      <c r="AZ24" s="38">
        <v>0.14510000000000001</v>
      </c>
      <c r="BA24" s="38">
        <v>0.14710000000000001</v>
      </c>
      <c r="BB24" s="38">
        <v>0.14630000000000001</v>
      </c>
      <c r="BC24" s="38">
        <v>0.14610000000000001</v>
      </c>
      <c r="BD24" s="38">
        <v>0.15379999999999999</v>
      </c>
      <c r="BE24" s="38">
        <v>0.14779999999999999</v>
      </c>
      <c r="BF24" s="38">
        <v>0.15110000000000001</v>
      </c>
      <c r="BG24" s="38">
        <v>0.152</v>
      </c>
      <c r="BH24" s="38">
        <v>0.15529999999999999</v>
      </c>
      <c r="BI24" s="38">
        <v>0.14940000000000001</v>
      </c>
      <c r="BJ24" s="38">
        <v>0.1482</v>
      </c>
      <c r="BK24" s="38">
        <v>0.1573</v>
      </c>
      <c r="BL24" s="38">
        <v>0.1565</v>
      </c>
      <c r="BM24" s="38">
        <v>0.15160000000000001</v>
      </c>
      <c r="BN24" s="38">
        <v>0.15260000000000001</v>
      </c>
      <c r="BO24" s="38">
        <v>0.15049999999999999</v>
      </c>
      <c r="BP24" s="38">
        <v>0.15229999999999999</v>
      </c>
      <c r="BQ24" s="38">
        <v>0.15210000000000001</v>
      </c>
      <c r="BR24" s="38">
        <v>0.15340000000000001</v>
      </c>
      <c r="BS24" s="38">
        <v>0.1623</v>
      </c>
      <c r="BT24" s="38">
        <v>0.15740000000000001</v>
      </c>
      <c r="BU24" s="38">
        <v>0.1575</v>
      </c>
      <c r="BV24" s="38">
        <v>0.15579999999999999</v>
      </c>
      <c r="BW24" s="38">
        <v>0.157</v>
      </c>
      <c r="BX24" s="38">
        <v>0.15670000000000001</v>
      </c>
      <c r="BY24" s="38">
        <v>0.1555</v>
      </c>
      <c r="BZ24" s="38">
        <v>0.16750000000000001</v>
      </c>
      <c r="CA24" s="38">
        <v>0.16420000000000001</v>
      </c>
      <c r="CB24" s="38">
        <v>0.1613</v>
      </c>
      <c r="CC24" s="38">
        <v>0.16259999999999999</v>
      </c>
      <c r="CD24" s="38">
        <v>0.16539999999999999</v>
      </c>
      <c r="CE24" s="38">
        <v>0.16470000000000001</v>
      </c>
      <c r="CF24" s="38">
        <v>0.16539999999999999</v>
      </c>
      <c r="CG24" s="38">
        <v>0.15629999999999999</v>
      </c>
      <c r="CH24" s="38">
        <v>0.16450000000000001</v>
      </c>
      <c r="CI24" s="38">
        <v>0.1661</v>
      </c>
      <c r="CJ24" s="38">
        <v>0.1661</v>
      </c>
      <c r="CK24" s="38">
        <v>0.1694</v>
      </c>
      <c r="CL24" s="38">
        <v>0.17019999999999999</v>
      </c>
      <c r="CM24" s="38">
        <v>0.1691</v>
      </c>
      <c r="CN24" s="38">
        <v>0.16639999999999999</v>
      </c>
      <c r="CO24" s="38">
        <v>0.1681</v>
      </c>
      <c r="CP24" s="38">
        <v>0.1681</v>
      </c>
      <c r="CQ24" s="38">
        <v>0.16769999999999999</v>
      </c>
      <c r="CR24" s="38">
        <v>0.16800000000000001</v>
      </c>
      <c r="CS24" s="38">
        <v>0.1709</v>
      </c>
      <c r="CT24" s="38">
        <v>0.1686</v>
      </c>
      <c r="CU24" s="38">
        <v>0.17150000000000001</v>
      </c>
      <c r="CV24" s="38">
        <v>0.1719</v>
      </c>
      <c r="CW24" s="38">
        <v>0.16700000000000001</v>
      </c>
      <c r="CX24" s="38">
        <v>0.17</v>
      </c>
      <c r="CY24" s="38">
        <v>0.17249999999999999</v>
      </c>
      <c r="CZ24" s="38">
        <v>0.17330000000000001</v>
      </c>
    </row>
    <row r="25" spans="1:104">
      <c r="A25" s="11">
        <v>2</v>
      </c>
      <c r="B25" s="62">
        <v>8.5999999999999993E-2</v>
      </c>
      <c r="C25" s="38">
        <v>0.1055</v>
      </c>
      <c r="D25" s="38">
        <v>0.1075</v>
      </c>
      <c r="E25" s="38">
        <v>0.1053</v>
      </c>
      <c r="F25" s="38">
        <v>0.10879999999999999</v>
      </c>
      <c r="G25" s="38">
        <v>0.10970000000000001</v>
      </c>
      <c r="H25" s="38">
        <v>0.1089</v>
      </c>
      <c r="I25" s="38">
        <v>0.1118</v>
      </c>
      <c r="J25" s="38">
        <v>0.1108</v>
      </c>
      <c r="K25" s="38">
        <v>0.1085</v>
      </c>
      <c r="L25" s="38">
        <v>0.1111</v>
      </c>
      <c r="M25" s="38">
        <v>0.1118</v>
      </c>
      <c r="N25" s="38">
        <v>0.1124</v>
      </c>
      <c r="O25" s="38">
        <v>0.115</v>
      </c>
      <c r="P25" s="38">
        <v>0.11260000000000001</v>
      </c>
      <c r="Q25" s="38">
        <v>0.11219999999999999</v>
      </c>
      <c r="R25" s="38">
        <v>0.11260000000000001</v>
      </c>
      <c r="S25" s="38">
        <v>0.1144</v>
      </c>
      <c r="T25" s="38">
        <v>0.11559999999999999</v>
      </c>
      <c r="U25" s="38">
        <v>0.1163</v>
      </c>
      <c r="V25" s="38">
        <v>0.1196</v>
      </c>
      <c r="W25" s="38">
        <v>0.1179</v>
      </c>
      <c r="X25" s="38">
        <v>0.11799999999999999</v>
      </c>
      <c r="Y25" s="38">
        <v>0.1201</v>
      </c>
      <c r="Z25" s="38">
        <v>0.1193</v>
      </c>
      <c r="AA25" s="38">
        <v>0.1215</v>
      </c>
      <c r="AB25" s="38">
        <v>0.1205</v>
      </c>
      <c r="AC25" s="38">
        <v>0.12640000000000001</v>
      </c>
      <c r="AD25" s="38">
        <v>0.1212</v>
      </c>
      <c r="AE25" s="38">
        <v>0.12230000000000001</v>
      </c>
      <c r="AF25" s="38">
        <v>0.1212</v>
      </c>
      <c r="AG25" s="38">
        <v>0.1216</v>
      </c>
      <c r="AH25" s="38">
        <v>0.1216</v>
      </c>
      <c r="AI25" s="38">
        <v>0.12230000000000001</v>
      </c>
      <c r="AJ25" s="38">
        <v>0.1227</v>
      </c>
      <c r="AK25" s="38">
        <v>0.1176</v>
      </c>
      <c r="AL25" s="38">
        <v>0.1236</v>
      </c>
      <c r="AM25" s="38">
        <v>0.12570000000000001</v>
      </c>
      <c r="AN25" s="38">
        <v>0.12640000000000001</v>
      </c>
      <c r="AO25" s="38">
        <v>0.12559999999999999</v>
      </c>
      <c r="AP25" s="38">
        <v>0.1244</v>
      </c>
      <c r="AQ25" s="38">
        <v>0.124</v>
      </c>
      <c r="AR25" s="38">
        <v>0.1265</v>
      </c>
      <c r="AS25" s="38">
        <v>0.12540000000000001</v>
      </c>
      <c r="AT25" s="38">
        <v>0.12740000000000001</v>
      </c>
      <c r="AU25" s="38">
        <v>0.13089999999999999</v>
      </c>
      <c r="AV25" s="38">
        <v>0.12659999999999999</v>
      </c>
      <c r="AW25" s="38">
        <v>0.13320000000000001</v>
      </c>
      <c r="AX25" s="38">
        <v>0.1288</v>
      </c>
      <c r="AY25" s="38">
        <v>0.1353</v>
      </c>
      <c r="AZ25" s="38">
        <v>0.1265</v>
      </c>
      <c r="BA25" s="38">
        <v>0.1293</v>
      </c>
      <c r="BB25" s="38">
        <v>0.1285</v>
      </c>
      <c r="BC25" s="38">
        <v>0.12939999999999999</v>
      </c>
      <c r="BD25" s="38">
        <v>0.13650000000000001</v>
      </c>
      <c r="BE25" s="38">
        <v>0.13389999999999999</v>
      </c>
      <c r="BF25" s="38">
        <v>0.128</v>
      </c>
      <c r="BG25" s="38">
        <v>0.13289999999999999</v>
      </c>
      <c r="BH25" s="38">
        <v>0.1363</v>
      </c>
      <c r="BI25" s="38">
        <v>0.13009999999999999</v>
      </c>
      <c r="BJ25" s="38">
        <v>0.13109999999999999</v>
      </c>
      <c r="BK25" s="38">
        <v>0.13450000000000001</v>
      </c>
      <c r="BL25" s="38">
        <v>0.1351</v>
      </c>
      <c r="BM25" s="38">
        <v>0.13089999999999999</v>
      </c>
      <c r="BN25" s="38">
        <v>0.1323</v>
      </c>
      <c r="BO25" s="38">
        <v>0.12909999999999999</v>
      </c>
      <c r="BP25" s="38">
        <v>0.1321</v>
      </c>
      <c r="BQ25" s="38">
        <v>0.1351</v>
      </c>
      <c r="BR25" s="38">
        <v>0.13719999999999999</v>
      </c>
      <c r="BS25" s="38">
        <v>0.1399</v>
      </c>
      <c r="BT25" s="38">
        <v>0.13550000000000001</v>
      </c>
      <c r="BU25" s="38">
        <v>0.1305</v>
      </c>
      <c r="BV25" s="38">
        <v>0.13109999999999999</v>
      </c>
      <c r="BW25" s="38">
        <v>0.13059999999999999</v>
      </c>
      <c r="BX25" s="38">
        <v>0.1295</v>
      </c>
      <c r="BY25" s="38">
        <v>0.13009999999999999</v>
      </c>
      <c r="BZ25" s="38">
        <v>0.14099999999999999</v>
      </c>
      <c r="CA25" s="38">
        <v>0.14099999999999999</v>
      </c>
      <c r="CB25" s="38">
        <v>0.13350000000000001</v>
      </c>
      <c r="CC25" s="38">
        <v>0.13539999999999999</v>
      </c>
      <c r="CD25" s="38">
        <v>0.13869999999999999</v>
      </c>
      <c r="CE25" s="38">
        <v>0.1389</v>
      </c>
      <c r="CF25" s="38">
        <v>0.1396</v>
      </c>
      <c r="CG25" s="38">
        <v>0.1326</v>
      </c>
      <c r="CH25" s="38">
        <v>0.13719999999999999</v>
      </c>
      <c r="CI25" s="38">
        <v>0.13800000000000001</v>
      </c>
      <c r="CJ25" s="38">
        <v>0.13919999999999999</v>
      </c>
      <c r="CK25" s="38">
        <v>0.1396</v>
      </c>
      <c r="CL25" s="38">
        <v>0.14080000000000001</v>
      </c>
      <c r="CM25" s="38">
        <v>0.1386</v>
      </c>
      <c r="CN25" s="38">
        <v>0.1381</v>
      </c>
      <c r="CO25" s="38">
        <v>0.13969999999999999</v>
      </c>
      <c r="CP25" s="38">
        <v>0.14099999999999999</v>
      </c>
      <c r="CQ25" s="38">
        <v>0.13850000000000001</v>
      </c>
      <c r="CR25" s="38">
        <v>0.1371</v>
      </c>
      <c r="CS25" s="38">
        <v>0.14000000000000001</v>
      </c>
      <c r="CT25" s="38">
        <v>0.1386</v>
      </c>
      <c r="CU25" s="38">
        <v>0.1416</v>
      </c>
      <c r="CV25" s="38">
        <v>0.14449999999999999</v>
      </c>
      <c r="CW25" s="38">
        <v>0.1376</v>
      </c>
      <c r="CX25" s="38">
        <v>0.13800000000000001</v>
      </c>
      <c r="CY25" s="38">
        <v>0.14119999999999999</v>
      </c>
      <c r="CZ25" s="38">
        <v>0.14050000000000001</v>
      </c>
    </row>
    <row r="26" spans="1:104">
      <c r="A26" s="11"/>
    </row>
    <row r="27" spans="1:104">
      <c r="A27" s="55" t="s">
        <v>119</v>
      </c>
    </row>
    <row r="28" spans="1:104">
      <c r="A28" s="11"/>
      <c r="B28" t="s">
        <v>115</v>
      </c>
    </row>
    <row r="29" spans="1:104">
      <c r="A29" s="11" t="s">
        <v>116</v>
      </c>
      <c r="B29" s="61">
        <v>0</v>
      </c>
      <c r="C29" s="39">
        <v>80</v>
      </c>
      <c r="D29" s="39">
        <v>160</v>
      </c>
      <c r="E29" s="39">
        <v>310</v>
      </c>
      <c r="F29" s="39">
        <v>390</v>
      </c>
      <c r="G29" s="39">
        <v>470</v>
      </c>
      <c r="H29" s="39">
        <v>550</v>
      </c>
      <c r="I29" s="39">
        <v>630</v>
      </c>
      <c r="J29" s="39">
        <v>710</v>
      </c>
      <c r="K29" s="39">
        <v>790</v>
      </c>
      <c r="L29" s="39">
        <v>870</v>
      </c>
      <c r="M29" s="39">
        <v>950</v>
      </c>
      <c r="N29" s="39">
        <v>1030</v>
      </c>
      <c r="O29" s="39">
        <v>1110</v>
      </c>
      <c r="P29" s="39">
        <v>1190</v>
      </c>
      <c r="Q29" s="39">
        <v>1270</v>
      </c>
      <c r="R29" s="39">
        <v>1350</v>
      </c>
      <c r="S29" s="39">
        <v>1430</v>
      </c>
      <c r="T29" s="39">
        <v>1510</v>
      </c>
      <c r="U29" s="39">
        <v>1590</v>
      </c>
      <c r="V29" s="39">
        <v>1670</v>
      </c>
      <c r="W29" s="39">
        <v>1750</v>
      </c>
      <c r="X29" s="39">
        <v>1830</v>
      </c>
      <c r="Y29" s="39">
        <v>1910</v>
      </c>
      <c r="Z29" s="39">
        <v>1990</v>
      </c>
      <c r="AA29" s="39">
        <v>2070</v>
      </c>
      <c r="AB29" s="39">
        <v>2150</v>
      </c>
      <c r="AC29" s="39">
        <v>2230</v>
      </c>
      <c r="AD29" s="39">
        <v>2310</v>
      </c>
      <c r="AE29" s="39">
        <v>2390</v>
      </c>
      <c r="AF29" s="39">
        <v>2470</v>
      </c>
      <c r="AG29" s="39">
        <v>2550</v>
      </c>
      <c r="AH29" s="39">
        <v>2630</v>
      </c>
      <c r="AI29" s="39">
        <v>2710</v>
      </c>
      <c r="AJ29" s="39">
        <v>2790</v>
      </c>
      <c r="AK29" s="39">
        <v>2870</v>
      </c>
      <c r="AL29" s="39">
        <v>2950</v>
      </c>
      <c r="AM29" s="39">
        <v>3030</v>
      </c>
      <c r="AN29" s="39">
        <v>3110</v>
      </c>
      <c r="AO29" s="39">
        <v>3190</v>
      </c>
      <c r="AP29" s="39">
        <v>3270</v>
      </c>
      <c r="AQ29" s="39">
        <v>3350</v>
      </c>
      <c r="AR29" s="39">
        <v>3430</v>
      </c>
      <c r="AS29" s="39">
        <v>3510</v>
      </c>
      <c r="AT29" s="39">
        <v>3590</v>
      </c>
      <c r="AU29" s="39">
        <v>3670</v>
      </c>
      <c r="AV29" s="39">
        <v>3750</v>
      </c>
      <c r="AW29" s="39">
        <v>3830</v>
      </c>
      <c r="AX29" s="39">
        <v>3910</v>
      </c>
      <c r="AY29" s="39">
        <v>3990</v>
      </c>
      <c r="AZ29" s="39">
        <v>4070</v>
      </c>
      <c r="BA29" s="39">
        <v>4150</v>
      </c>
      <c r="BB29" s="39">
        <v>4230</v>
      </c>
      <c r="BC29" s="39">
        <v>4310</v>
      </c>
      <c r="BD29" s="39">
        <v>4390</v>
      </c>
      <c r="BE29" s="39">
        <v>4470</v>
      </c>
      <c r="BF29" s="39">
        <v>4550</v>
      </c>
      <c r="BG29" s="39">
        <v>4630</v>
      </c>
      <c r="BH29" s="39">
        <v>4710</v>
      </c>
      <c r="BI29" s="39">
        <v>4790</v>
      </c>
      <c r="BJ29" s="39">
        <v>4870</v>
      </c>
      <c r="BK29" s="39">
        <v>4950</v>
      </c>
      <c r="BL29" s="39">
        <v>5030</v>
      </c>
      <c r="BM29" s="39">
        <v>5110</v>
      </c>
      <c r="BN29" s="39">
        <v>5230</v>
      </c>
      <c r="BO29" s="39">
        <v>5350</v>
      </c>
      <c r="BP29" s="39">
        <v>5470</v>
      </c>
      <c r="BQ29" s="39">
        <v>5590</v>
      </c>
      <c r="BR29" s="39">
        <v>5710</v>
      </c>
      <c r="BS29" s="39">
        <v>5830</v>
      </c>
      <c r="BT29" s="39">
        <v>5950</v>
      </c>
      <c r="BU29" s="39">
        <v>6070</v>
      </c>
      <c r="BV29" s="39">
        <v>6190</v>
      </c>
      <c r="BW29" s="39">
        <v>6310</v>
      </c>
      <c r="BX29" s="39">
        <v>6430</v>
      </c>
      <c r="BY29" s="39">
        <v>6550</v>
      </c>
      <c r="BZ29" s="39">
        <v>6670</v>
      </c>
      <c r="CA29" s="39">
        <v>6790</v>
      </c>
      <c r="CB29" s="39">
        <v>6910</v>
      </c>
      <c r="CC29" s="39">
        <v>7030</v>
      </c>
      <c r="CD29" s="39">
        <v>7150</v>
      </c>
      <c r="CE29" s="39">
        <v>7270</v>
      </c>
      <c r="CF29" s="39">
        <v>7390</v>
      </c>
      <c r="CG29" s="39">
        <v>7510</v>
      </c>
      <c r="CH29" s="39">
        <v>7630</v>
      </c>
      <c r="CI29" s="39">
        <v>7750</v>
      </c>
      <c r="CJ29" s="39">
        <v>7870</v>
      </c>
      <c r="CK29" s="39">
        <v>7990</v>
      </c>
      <c r="CL29" s="39">
        <v>8110</v>
      </c>
      <c r="CM29" s="39">
        <v>8230</v>
      </c>
      <c r="CN29" s="39">
        <v>8350</v>
      </c>
      <c r="CO29" s="39">
        <v>8470</v>
      </c>
      <c r="CP29" s="39">
        <v>8590</v>
      </c>
      <c r="CQ29" s="39">
        <v>8710</v>
      </c>
      <c r="CR29" s="39">
        <v>8830</v>
      </c>
      <c r="CS29" s="39">
        <v>8950</v>
      </c>
      <c r="CT29" s="39">
        <v>9070</v>
      </c>
      <c r="CU29" s="39">
        <v>9190</v>
      </c>
      <c r="CV29" s="39">
        <v>9310</v>
      </c>
      <c r="CW29" s="39">
        <v>9430</v>
      </c>
      <c r="CX29" s="39">
        <v>9550</v>
      </c>
      <c r="CY29" s="39">
        <v>9670</v>
      </c>
      <c r="CZ29" s="39">
        <v>9790</v>
      </c>
    </row>
    <row r="30" spans="1:104">
      <c r="A30" s="11">
        <v>0</v>
      </c>
      <c r="B30" s="62">
        <v>8.4099999999999994E-2</v>
      </c>
      <c r="C30" s="38">
        <v>8.5300000000000001E-2</v>
      </c>
      <c r="D30" s="38">
        <v>8.1799999999999998E-2</v>
      </c>
      <c r="E30" s="38">
        <v>8.1699999999999995E-2</v>
      </c>
      <c r="F30" s="38">
        <v>8.2100000000000006E-2</v>
      </c>
      <c r="G30" s="38">
        <v>8.4099999999999994E-2</v>
      </c>
      <c r="H30" s="38">
        <v>8.4199999999999997E-2</v>
      </c>
      <c r="I30" s="38">
        <v>8.9399999999999993E-2</v>
      </c>
      <c r="J30" s="38">
        <v>8.8099999999999998E-2</v>
      </c>
      <c r="K30" s="38">
        <v>8.8700000000000001E-2</v>
      </c>
      <c r="L30" s="38">
        <v>8.9399999999999993E-2</v>
      </c>
      <c r="M30" s="38">
        <v>8.8700000000000001E-2</v>
      </c>
      <c r="N30" s="38">
        <v>8.9499999999999996E-2</v>
      </c>
      <c r="O30" s="38">
        <v>8.8999999999999996E-2</v>
      </c>
      <c r="P30" s="38">
        <v>9.1700000000000004E-2</v>
      </c>
      <c r="Q30" s="38">
        <v>9.0399999999999994E-2</v>
      </c>
      <c r="R30" s="38">
        <v>9.1700000000000004E-2</v>
      </c>
      <c r="S30" s="38">
        <v>9.3600000000000003E-2</v>
      </c>
      <c r="T30" s="38">
        <v>9.5200000000000007E-2</v>
      </c>
      <c r="U30" s="38">
        <v>9.7100000000000006E-2</v>
      </c>
      <c r="V30" s="38">
        <v>0.1033</v>
      </c>
      <c r="W30" s="38">
        <v>0.1061</v>
      </c>
      <c r="X30" s="38">
        <v>0.11119999999999999</v>
      </c>
      <c r="Y30" s="38">
        <v>0.1149</v>
      </c>
      <c r="Z30" s="38">
        <v>0.1164</v>
      </c>
      <c r="AA30" s="38">
        <v>0.12130000000000001</v>
      </c>
      <c r="AB30" s="38">
        <v>0.12640000000000001</v>
      </c>
      <c r="AC30" s="38">
        <v>0.13320000000000001</v>
      </c>
      <c r="AD30" s="38">
        <v>0.1313</v>
      </c>
      <c r="AE30" s="38">
        <v>0.1406</v>
      </c>
      <c r="AF30" s="38">
        <v>0.1459</v>
      </c>
      <c r="AG30" s="38">
        <v>0.1492</v>
      </c>
      <c r="AH30" s="38">
        <v>0.14680000000000001</v>
      </c>
      <c r="AI30" s="38">
        <v>0.14899999999999999</v>
      </c>
      <c r="AJ30" s="38">
        <v>0.1515</v>
      </c>
      <c r="AK30" s="38">
        <v>0.15670000000000001</v>
      </c>
      <c r="AL30" s="38">
        <v>0.16139999999999999</v>
      </c>
      <c r="AM30" s="38">
        <v>0.1641</v>
      </c>
      <c r="AN30" s="38">
        <v>0.1691</v>
      </c>
      <c r="AO30" s="38">
        <v>0.1734</v>
      </c>
      <c r="AP30" s="38">
        <v>0.17499999999999999</v>
      </c>
      <c r="AQ30" s="38">
        <v>0.17699999999999999</v>
      </c>
      <c r="AR30" s="38">
        <v>0.1812</v>
      </c>
      <c r="AS30" s="38">
        <v>0.18240000000000001</v>
      </c>
      <c r="AT30" s="38">
        <v>0.18779999999999999</v>
      </c>
      <c r="AU30" s="38">
        <v>0.19589999999999999</v>
      </c>
      <c r="AV30" s="38">
        <v>0.1946</v>
      </c>
      <c r="AW30" s="38">
        <v>0.20050000000000001</v>
      </c>
      <c r="AX30" s="38">
        <v>0.19620000000000001</v>
      </c>
      <c r="AY30" s="38">
        <v>0.20630000000000001</v>
      </c>
      <c r="AZ30" s="38">
        <v>0.2034</v>
      </c>
      <c r="BA30" s="38">
        <v>0.2054</v>
      </c>
      <c r="BB30" s="38">
        <v>0.20630000000000001</v>
      </c>
      <c r="BC30" s="38">
        <v>0.20780000000000001</v>
      </c>
      <c r="BD30" s="38">
        <v>0.21310000000000001</v>
      </c>
      <c r="BE30" s="38">
        <v>0.21060000000000001</v>
      </c>
      <c r="BF30" s="38">
        <v>0.2122</v>
      </c>
      <c r="BG30" s="38">
        <v>0.21410000000000001</v>
      </c>
      <c r="BH30" s="38">
        <v>0.22370000000000001</v>
      </c>
      <c r="BI30" s="38">
        <v>0.21820000000000001</v>
      </c>
      <c r="BJ30" s="38">
        <v>0.21940000000000001</v>
      </c>
      <c r="BK30" s="38">
        <v>0.2205</v>
      </c>
      <c r="BL30" s="38">
        <v>0.22700000000000001</v>
      </c>
      <c r="BM30" s="38">
        <v>0.22040000000000001</v>
      </c>
      <c r="BN30" s="38">
        <v>0.2225</v>
      </c>
      <c r="BO30" s="38">
        <v>0.22459999999999999</v>
      </c>
      <c r="BP30" s="38">
        <v>0.22500000000000001</v>
      </c>
      <c r="BQ30" s="38">
        <v>0.22559999999999999</v>
      </c>
      <c r="BR30" s="38">
        <v>0.2276</v>
      </c>
      <c r="BS30" s="38">
        <v>0.23719999999999999</v>
      </c>
      <c r="BT30" s="38">
        <v>0.23039999999999999</v>
      </c>
      <c r="BU30" s="38">
        <v>0.22950000000000001</v>
      </c>
      <c r="BV30" s="38">
        <v>0.23469999999999999</v>
      </c>
      <c r="BW30" s="38">
        <v>0.2334</v>
      </c>
      <c r="BX30" s="38">
        <v>0.2349</v>
      </c>
      <c r="BY30" s="38">
        <v>0.23669999999999999</v>
      </c>
      <c r="BZ30" s="38">
        <v>0.2394</v>
      </c>
      <c r="CA30" s="38">
        <v>0.2397</v>
      </c>
      <c r="CB30" s="38">
        <v>0.23569999999999999</v>
      </c>
      <c r="CC30" s="38">
        <v>0.24299999999999999</v>
      </c>
      <c r="CD30" s="38">
        <v>0.24079999999999999</v>
      </c>
      <c r="CE30" s="38">
        <v>0.2422</v>
      </c>
      <c r="CF30" s="38">
        <v>0.2487</v>
      </c>
      <c r="CG30" s="38">
        <v>0.23860000000000001</v>
      </c>
      <c r="CH30" s="38">
        <v>0.2409</v>
      </c>
      <c r="CI30" s="38">
        <v>0.2407</v>
      </c>
      <c r="CJ30" s="38">
        <v>0.2414</v>
      </c>
      <c r="CK30" s="38">
        <v>0.2445</v>
      </c>
      <c r="CL30" s="38">
        <v>0.2429</v>
      </c>
      <c r="CM30" s="38">
        <v>0.24390000000000001</v>
      </c>
      <c r="CN30" s="38">
        <v>0.2409</v>
      </c>
      <c r="CO30" s="38">
        <v>0.24540000000000001</v>
      </c>
      <c r="CP30" s="38">
        <v>0.24460000000000001</v>
      </c>
      <c r="CQ30" s="38">
        <v>0.24410000000000001</v>
      </c>
      <c r="CR30" s="38">
        <v>0.24260000000000001</v>
      </c>
      <c r="CS30" s="38">
        <v>0.2422</v>
      </c>
      <c r="CT30" s="38">
        <v>0.245</v>
      </c>
      <c r="CU30" s="38">
        <v>0.2442</v>
      </c>
      <c r="CV30" s="38">
        <v>0.24099999999999999</v>
      </c>
      <c r="CW30" s="38">
        <v>0.24199999999999999</v>
      </c>
      <c r="CX30" s="38">
        <v>0.24399999999999999</v>
      </c>
      <c r="CY30" s="38">
        <v>0.24099999999999999</v>
      </c>
      <c r="CZ30" s="38">
        <v>0.24199999999999999</v>
      </c>
    </row>
    <row r="31" spans="1:104">
      <c r="A31" s="11">
        <v>0.25</v>
      </c>
      <c r="B31" s="62">
        <v>8.4099999999999994E-2</v>
      </c>
      <c r="C31" s="38">
        <v>8.5300000000000001E-2</v>
      </c>
      <c r="D31" s="38">
        <v>8.1799999999999998E-2</v>
      </c>
      <c r="E31" s="38">
        <v>9.1700000000000004E-2</v>
      </c>
      <c r="F31" s="38">
        <v>9.2100000000000001E-2</v>
      </c>
      <c r="G31" s="38">
        <v>9.4100000000000003E-2</v>
      </c>
      <c r="H31" s="38">
        <v>9.4200000000000006E-2</v>
      </c>
      <c r="I31" s="38">
        <v>9.9400000000000002E-2</v>
      </c>
      <c r="J31" s="38">
        <v>9.8100000000000007E-2</v>
      </c>
      <c r="K31" s="38">
        <v>9.8699999999999996E-2</v>
      </c>
      <c r="L31" s="38">
        <v>9.9400000000000002E-2</v>
      </c>
      <c r="M31" s="38">
        <v>9.8699999999999996E-2</v>
      </c>
      <c r="N31" s="38">
        <v>9.9500000000000005E-2</v>
      </c>
      <c r="O31" s="38">
        <v>9.9000000000000005E-2</v>
      </c>
      <c r="P31" s="38">
        <v>9.9699999999999997E-2</v>
      </c>
      <c r="Q31" s="38">
        <v>9.9400000000000002E-2</v>
      </c>
      <c r="R31" s="38">
        <v>9.9699999999999997E-2</v>
      </c>
      <c r="S31" s="38">
        <v>9.9599999999999994E-2</v>
      </c>
      <c r="T31" s="38">
        <v>0.1052</v>
      </c>
      <c r="U31" s="38">
        <v>0.10971</v>
      </c>
      <c r="V31" s="38">
        <v>0.10929999999999999</v>
      </c>
      <c r="W31" s="38">
        <v>0.11609999999999999</v>
      </c>
      <c r="X31" s="38">
        <v>0.122</v>
      </c>
      <c r="Y31" s="38">
        <v>0.1249</v>
      </c>
      <c r="Z31" s="38">
        <v>0.12640000000000001</v>
      </c>
      <c r="AA31" s="38">
        <v>0.127</v>
      </c>
      <c r="AB31" s="38">
        <v>0.127</v>
      </c>
      <c r="AC31" s="38">
        <v>0.128</v>
      </c>
      <c r="AD31" s="38">
        <v>0.129</v>
      </c>
      <c r="AE31" s="38">
        <v>0.13</v>
      </c>
      <c r="AF31" s="38">
        <v>0.13200000000000001</v>
      </c>
      <c r="AG31" s="38">
        <v>0.13492000000000001</v>
      </c>
      <c r="AH31" s="38">
        <v>0.1368</v>
      </c>
      <c r="AI31" s="38">
        <v>0.13700000000000001</v>
      </c>
      <c r="AJ31" s="38">
        <v>0.13900000000000001</v>
      </c>
      <c r="AK31" s="38">
        <v>0.14099999999999999</v>
      </c>
      <c r="AL31" s="38">
        <v>0.14299999999999999</v>
      </c>
      <c r="AM31" s="38">
        <v>0.14410000000000001</v>
      </c>
      <c r="AN31" s="38">
        <v>0.14910000000000001</v>
      </c>
      <c r="AO31" s="38">
        <v>0.151</v>
      </c>
      <c r="AP31" s="38">
        <v>0.153</v>
      </c>
      <c r="AQ31" s="38">
        <v>0.154</v>
      </c>
      <c r="AR31" s="38">
        <v>0.155</v>
      </c>
      <c r="AS31" s="38">
        <v>0.158</v>
      </c>
      <c r="AT31" s="38">
        <v>0.159</v>
      </c>
      <c r="AU31" s="38">
        <v>0.161</v>
      </c>
      <c r="AV31" s="38">
        <v>0.16400000000000001</v>
      </c>
      <c r="AW31" s="38">
        <v>0.16700000000000001</v>
      </c>
      <c r="AX31" s="38">
        <v>0.16900000000000001</v>
      </c>
      <c r="AY31" s="38">
        <v>0.16900000000000001</v>
      </c>
      <c r="AZ31" s="38">
        <v>0.1724</v>
      </c>
      <c r="BA31" s="38">
        <v>0.1754</v>
      </c>
      <c r="BB31" s="38">
        <v>0.17910000000000001</v>
      </c>
      <c r="BC31" s="38">
        <v>0.182</v>
      </c>
      <c r="BD31" s="38">
        <v>0.18310000000000001</v>
      </c>
      <c r="BE31" s="38">
        <v>0.186</v>
      </c>
      <c r="BF31" s="38">
        <v>0.189</v>
      </c>
      <c r="BG31" s="38">
        <v>0.18940000000000001</v>
      </c>
      <c r="BH31" s="38">
        <v>0.18990000000000001</v>
      </c>
      <c r="BI31" s="38">
        <v>0.192</v>
      </c>
      <c r="BJ31" s="38">
        <v>0.19400000000000001</v>
      </c>
      <c r="BK31" s="38">
        <v>0.19500000000000001</v>
      </c>
      <c r="BL31" s="38">
        <v>0.19600000000000001</v>
      </c>
      <c r="BM31" s="38">
        <v>0.19667000000000001</v>
      </c>
      <c r="BN31" s="38">
        <v>0.19800000000000001</v>
      </c>
      <c r="BO31" s="38">
        <v>0.2</v>
      </c>
      <c r="BP31" s="38">
        <v>0.20300000000000001</v>
      </c>
      <c r="BQ31" s="38">
        <v>0.20399999999999999</v>
      </c>
      <c r="BR31" s="38">
        <v>0.20799999999999999</v>
      </c>
      <c r="BS31" s="38">
        <v>0.2072</v>
      </c>
      <c r="BT31" s="38">
        <v>0.20944299999999999</v>
      </c>
      <c r="BU31" s="38">
        <v>0.20949999999999999</v>
      </c>
      <c r="BV31" s="38">
        <v>0.21103</v>
      </c>
      <c r="BW31" s="38">
        <v>0.21103</v>
      </c>
      <c r="BX31" s="38">
        <v>0.21123</v>
      </c>
      <c r="BY31" s="38">
        <v>0.21167</v>
      </c>
      <c r="BZ31" s="38">
        <v>0.21293999999999999</v>
      </c>
      <c r="CA31" s="38">
        <v>0.21307000000000001</v>
      </c>
      <c r="CB31" s="38">
        <v>0.21357000000000001</v>
      </c>
      <c r="CC31" s="38">
        <v>0.21429999999999999</v>
      </c>
      <c r="CD31" s="38">
        <v>0.21407999999999999</v>
      </c>
      <c r="CE31" s="38">
        <v>0.213922</v>
      </c>
      <c r="CF31" s="38">
        <v>0.21487000000000001</v>
      </c>
      <c r="CG31" s="38">
        <v>0.21385999999999999</v>
      </c>
      <c r="CH31" s="38">
        <v>0.21423300000000001</v>
      </c>
      <c r="CI31" s="38">
        <v>0.21407000000000001</v>
      </c>
      <c r="CJ31" s="38">
        <v>0.21493799999999999</v>
      </c>
      <c r="CK31" s="38">
        <v>0.21445</v>
      </c>
      <c r="CL31" s="38">
        <v>0.21429000000000001</v>
      </c>
      <c r="CM31" s="38">
        <v>0.21439</v>
      </c>
      <c r="CN31" s="38">
        <v>0.21409</v>
      </c>
      <c r="CO31" s="38">
        <v>0.21454000000000001</v>
      </c>
      <c r="CP31" s="38">
        <v>0.21446000000000001</v>
      </c>
      <c r="CQ31" s="38">
        <v>0.21440999999999999</v>
      </c>
      <c r="CR31" s="38">
        <v>0.21423400000000001</v>
      </c>
      <c r="CS31" s="38">
        <v>0.21434420000000001</v>
      </c>
      <c r="CT31" s="38">
        <v>0.21423449999999999</v>
      </c>
      <c r="CU31" s="38">
        <v>0.21433442</v>
      </c>
      <c r="CV31" s="38">
        <v>0.21434510000000001</v>
      </c>
      <c r="CW31" s="38">
        <v>0.21445420000000001</v>
      </c>
      <c r="CX31" s="38">
        <v>0.21355440000000001</v>
      </c>
      <c r="CY31" s="38">
        <v>0.213895</v>
      </c>
      <c r="CZ31" s="38">
        <v>0.2142</v>
      </c>
    </row>
    <row r="32" spans="1:104">
      <c r="A32" s="11">
        <v>0.5</v>
      </c>
      <c r="B32" s="62">
        <v>9.4100000000000003E-2</v>
      </c>
      <c r="C32" s="38">
        <v>9.5299999999999996E-2</v>
      </c>
      <c r="D32" s="38">
        <v>9.8799999999999999E-2</v>
      </c>
      <c r="E32" s="38">
        <v>9.8169999999999993E-2</v>
      </c>
      <c r="F32" s="38">
        <v>9.8210000000000006E-2</v>
      </c>
      <c r="G32" s="38">
        <v>9.8409999999999997E-2</v>
      </c>
      <c r="H32" s="38">
        <v>9.8419999999999994E-2</v>
      </c>
      <c r="I32" s="38">
        <v>9.894E-2</v>
      </c>
      <c r="J32" s="38">
        <v>9.8809999999999995E-2</v>
      </c>
      <c r="K32" s="38">
        <v>9.887E-2</v>
      </c>
      <c r="L32" s="38">
        <v>9.894E-2</v>
      </c>
      <c r="M32" s="38">
        <v>9.887E-2</v>
      </c>
      <c r="N32" s="38">
        <v>9.9000000000000005E-2</v>
      </c>
      <c r="O32" s="38">
        <v>0.1089</v>
      </c>
      <c r="P32" s="38">
        <v>0.10917</v>
      </c>
      <c r="Q32" s="38">
        <v>0.10904</v>
      </c>
      <c r="R32" s="38">
        <v>0.112</v>
      </c>
      <c r="S32" s="38">
        <v>0.11360000000000001</v>
      </c>
      <c r="T32" s="38">
        <v>0.1152</v>
      </c>
      <c r="U32" s="38">
        <v>0.1171</v>
      </c>
      <c r="V32" s="38">
        <v>0.1118</v>
      </c>
      <c r="W32" s="38">
        <v>0.11609999999999999</v>
      </c>
      <c r="X32" s="38">
        <v>0.11700000000000001</v>
      </c>
      <c r="Y32" s="38">
        <v>0.11899999999999999</v>
      </c>
      <c r="Z32" s="38">
        <v>0.12</v>
      </c>
      <c r="AA32" s="38">
        <v>0.122</v>
      </c>
      <c r="AB32" s="38">
        <v>0.124</v>
      </c>
      <c r="AC32" s="38">
        <v>0.125</v>
      </c>
      <c r="AD32" s="38">
        <v>0.126</v>
      </c>
      <c r="AE32" s="38">
        <v>0.1265</v>
      </c>
      <c r="AF32" s="38">
        <v>0.12609999999999999</v>
      </c>
      <c r="AG32" s="38">
        <v>0.12720000000000001</v>
      </c>
      <c r="AH32" s="38">
        <v>0.128</v>
      </c>
      <c r="AI32" s="38">
        <v>0.128</v>
      </c>
      <c r="AJ32" s="38">
        <v>0.12914999999999999</v>
      </c>
      <c r="AK32" s="38">
        <v>0.12970000000000001</v>
      </c>
      <c r="AL32" s="38">
        <v>0.13014000000000001</v>
      </c>
      <c r="AM32" s="38">
        <v>0.13064100000000001</v>
      </c>
      <c r="AN32" s="38">
        <v>0.1321</v>
      </c>
      <c r="AO32" s="38">
        <v>0.13322329999999999</v>
      </c>
      <c r="AP32" s="38">
        <v>0.13395000000000001</v>
      </c>
      <c r="AQ32" s="38">
        <v>0.13700000000000001</v>
      </c>
      <c r="AR32" s="38">
        <v>0.13819999999999999</v>
      </c>
      <c r="AS32" s="38">
        <v>0.13924</v>
      </c>
      <c r="AT32" s="38">
        <v>0.13977999999999999</v>
      </c>
      <c r="AU32" s="38">
        <v>0.1409</v>
      </c>
      <c r="AV32" s="38">
        <v>0.14460000000000001</v>
      </c>
      <c r="AW32" s="38">
        <v>0.14449999999999999</v>
      </c>
      <c r="AX32" s="38">
        <v>0.1462</v>
      </c>
      <c r="AY32" s="38">
        <v>0.14630000000000001</v>
      </c>
      <c r="AZ32" s="38">
        <v>0.14734</v>
      </c>
      <c r="BA32" s="38">
        <v>0.1489</v>
      </c>
      <c r="BB32" s="38">
        <v>0.15129999999999999</v>
      </c>
      <c r="BC32" s="38">
        <v>0.15207799999999999</v>
      </c>
      <c r="BD32" s="38">
        <v>0.15310000000000001</v>
      </c>
      <c r="BE32" s="38">
        <v>0.15406</v>
      </c>
      <c r="BF32" s="38">
        <v>0.1552</v>
      </c>
      <c r="BG32" s="38">
        <v>0.15740999999999999</v>
      </c>
      <c r="BH32" s="38">
        <v>0.15970000000000001</v>
      </c>
      <c r="BI32" s="38">
        <v>0.16281999999999999</v>
      </c>
      <c r="BJ32" s="38">
        <v>0.16344</v>
      </c>
      <c r="BK32" s="38">
        <v>0.16500000000000001</v>
      </c>
      <c r="BL32" s="38">
        <v>0.16900000000000001</v>
      </c>
      <c r="BM32" s="38">
        <v>0.16600000000000001</v>
      </c>
      <c r="BN32" s="38">
        <v>0.16722500000000001</v>
      </c>
      <c r="BO32" s="38">
        <v>0.16700000000000001</v>
      </c>
      <c r="BP32" s="38">
        <v>0.16800000000000001</v>
      </c>
      <c r="BQ32" s="38">
        <v>0.16900000000000001</v>
      </c>
      <c r="BR32" s="38">
        <v>0.17</v>
      </c>
      <c r="BS32" s="38">
        <v>0.17199999999999999</v>
      </c>
      <c r="BT32" s="38">
        <v>0.17230000000000001</v>
      </c>
      <c r="BU32" s="38">
        <v>0.17299999999999999</v>
      </c>
      <c r="BV32" s="38">
        <v>0.17347000000000001</v>
      </c>
      <c r="BW32" s="38">
        <v>0.17533399999999999</v>
      </c>
      <c r="BX32" s="38">
        <v>0.17649000000000001</v>
      </c>
      <c r="BY32" s="38">
        <v>0.17799999999999999</v>
      </c>
      <c r="BZ32" s="38">
        <v>0.17899999999999999</v>
      </c>
      <c r="CA32" s="38">
        <v>0.17899999999999999</v>
      </c>
      <c r="CB32" s="38">
        <v>0.18110000000000001</v>
      </c>
      <c r="CC32" s="38">
        <v>0.18223</v>
      </c>
      <c r="CD32" s="38">
        <v>0.18407999999999999</v>
      </c>
      <c r="CE32" s="38">
        <v>0.18720000000000001</v>
      </c>
      <c r="CF32" s="38">
        <v>0.186</v>
      </c>
      <c r="CG32" s="38">
        <v>0.186</v>
      </c>
      <c r="CH32" s="38">
        <v>0.187</v>
      </c>
      <c r="CI32" s="38">
        <v>0.18407000000000001</v>
      </c>
      <c r="CJ32" s="38">
        <v>0.18522</v>
      </c>
      <c r="CK32" s="38">
        <v>0.18445</v>
      </c>
      <c r="CL32" s="38">
        <v>0.18542900000000001</v>
      </c>
      <c r="CM32" s="38">
        <v>0.18440000000000001</v>
      </c>
      <c r="CN32" s="38">
        <v>0.18490000000000001</v>
      </c>
      <c r="CO32" s="38">
        <v>0.18454000000000001</v>
      </c>
      <c r="CP32" s="38">
        <v>0.18446000000000001</v>
      </c>
      <c r="CQ32" s="38">
        <v>0.18440999999999999</v>
      </c>
      <c r="CR32" s="38">
        <v>0.182426</v>
      </c>
      <c r="CS32" s="38">
        <v>0.18421999999999999</v>
      </c>
      <c r="CT32" s="38">
        <v>0.1845</v>
      </c>
      <c r="CU32" s="38">
        <v>0.18442</v>
      </c>
      <c r="CV32" s="38">
        <v>0.18410000000000001</v>
      </c>
      <c r="CW32" s="38">
        <v>0.1842</v>
      </c>
      <c r="CX32" s="38">
        <v>0.18440000000000001</v>
      </c>
      <c r="CY32" s="38">
        <v>0.18340999999999999</v>
      </c>
      <c r="CZ32" s="38">
        <v>0.18242</v>
      </c>
    </row>
    <row r="33" spans="1:104">
      <c r="A33" s="11">
        <v>1</v>
      </c>
      <c r="B33" s="62">
        <v>0.108</v>
      </c>
      <c r="C33" s="38">
        <v>0.1123</v>
      </c>
      <c r="D33" s="38">
        <v>0.11260000000000001</v>
      </c>
      <c r="E33" s="38">
        <v>0.11269999999999999</v>
      </c>
      <c r="F33" s="38">
        <v>0.11219999999999999</v>
      </c>
      <c r="G33" s="38">
        <v>0.112</v>
      </c>
      <c r="H33" s="38">
        <v>0.1118</v>
      </c>
      <c r="I33" s="38">
        <v>0.1124</v>
      </c>
      <c r="J33" s="38">
        <v>0.1142</v>
      </c>
      <c r="K33" s="38">
        <v>0.1119</v>
      </c>
      <c r="L33" s="38">
        <v>0.1144</v>
      </c>
      <c r="M33" s="38">
        <v>0.1145</v>
      </c>
      <c r="N33" s="38">
        <v>0.114</v>
      </c>
      <c r="O33" s="38">
        <v>0.1148</v>
      </c>
      <c r="P33" s="38">
        <v>0.11459999999999999</v>
      </c>
      <c r="Q33" s="38">
        <v>0.1134</v>
      </c>
      <c r="R33" s="38">
        <v>0.11119999999999999</v>
      </c>
      <c r="S33" s="38">
        <v>0.11169999999999999</v>
      </c>
      <c r="T33" s="38">
        <v>0.10970000000000001</v>
      </c>
      <c r="U33" s="38">
        <v>0.1124</v>
      </c>
      <c r="V33" s="38">
        <v>0.1142</v>
      </c>
      <c r="W33" s="38">
        <v>0.1135</v>
      </c>
      <c r="X33" s="38">
        <v>0.1145</v>
      </c>
      <c r="Y33" s="38">
        <v>0.11409999999999999</v>
      </c>
      <c r="Z33" s="38">
        <v>0.11310000000000001</v>
      </c>
      <c r="AA33" s="38">
        <v>0.1139</v>
      </c>
      <c r="AB33" s="38">
        <v>0.1123</v>
      </c>
      <c r="AC33" s="38">
        <v>0.113</v>
      </c>
      <c r="AD33" s="38">
        <v>0.1157</v>
      </c>
      <c r="AE33" s="38">
        <v>0.1168</v>
      </c>
      <c r="AF33" s="38">
        <v>0.1169</v>
      </c>
      <c r="AG33" s="38">
        <v>0.11219999999999999</v>
      </c>
      <c r="AH33" s="38">
        <v>0.11600000000000001</v>
      </c>
      <c r="AI33" s="38">
        <v>0.1169</v>
      </c>
      <c r="AJ33" s="38">
        <v>0.1186</v>
      </c>
      <c r="AK33" s="38">
        <v>0.115</v>
      </c>
      <c r="AL33" s="38">
        <v>0.1202</v>
      </c>
      <c r="AM33" s="38">
        <v>0.1197</v>
      </c>
      <c r="AN33" s="38">
        <v>0.1198</v>
      </c>
      <c r="AO33" s="38">
        <v>0.11890000000000001</v>
      </c>
      <c r="AP33" s="38">
        <v>0.1201</v>
      </c>
      <c r="AQ33" s="38">
        <v>0.1202</v>
      </c>
      <c r="AR33" s="38">
        <v>0.1222</v>
      </c>
      <c r="AS33" s="38">
        <v>0.1231</v>
      </c>
      <c r="AT33" s="38">
        <v>0.12039999999999999</v>
      </c>
      <c r="AU33" s="38">
        <v>0.12180000000000001</v>
      </c>
      <c r="AV33" s="38">
        <v>0.1227</v>
      </c>
      <c r="AW33" s="38">
        <v>0.12089999999999999</v>
      </c>
      <c r="AX33" s="38">
        <v>0.12230000000000001</v>
      </c>
      <c r="AY33" s="38">
        <v>0.1211</v>
      </c>
      <c r="AZ33" s="38">
        <v>0.121</v>
      </c>
      <c r="BA33" s="38">
        <v>0.1226</v>
      </c>
      <c r="BB33" s="38">
        <v>0.124</v>
      </c>
      <c r="BC33" s="38">
        <v>0.122</v>
      </c>
      <c r="BD33" s="38">
        <v>0.124</v>
      </c>
      <c r="BE33" s="38">
        <v>0.12280000000000001</v>
      </c>
      <c r="BF33" s="38">
        <v>0.12230000000000001</v>
      </c>
      <c r="BG33" s="38">
        <v>0.1249</v>
      </c>
      <c r="BH33" s="38">
        <v>0.126</v>
      </c>
      <c r="BI33" s="38">
        <v>0.1249</v>
      </c>
      <c r="BJ33" s="38">
        <v>0.1249</v>
      </c>
      <c r="BK33" s="38">
        <v>0.128</v>
      </c>
      <c r="BL33" s="38">
        <v>0.129</v>
      </c>
      <c r="BM33" s="38">
        <v>0.127</v>
      </c>
      <c r="BN33" s="38">
        <v>0.12559999999999999</v>
      </c>
      <c r="BO33" s="38">
        <v>0.1258</v>
      </c>
      <c r="BP33" s="38">
        <v>0.1278</v>
      </c>
      <c r="BQ33" s="38">
        <v>0.1278</v>
      </c>
      <c r="BR33" s="38">
        <v>0.12709999999999999</v>
      </c>
      <c r="BS33" s="38">
        <v>0.1308</v>
      </c>
      <c r="BT33" s="38">
        <v>0.12740000000000001</v>
      </c>
      <c r="BU33" s="38">
        <v>0.128</v>
      </c>
      <c r="BV33" s="38">
        <v>0.1258</v>
      </c>
      <c r="BW33" s="38">
        <v>0.12720000000000001</v>
      </c>
      <c r="BX33" s="38">
        <v>0.12989999999999999</v>
      </c>
      <c r="BY33" s="38">
        <v>0.1308</v>
      </c>
      <c r="BZ33" s="38">
        <v>0.1353</v>
      </c>
      <c r="CA33" s="38">
        <v>0.1358</v>
      </c>
      <c r="CB33" s="38">
        <v>0.12970000000000001</v>
      </c>
      <c r="CC33" s="38">
        <v>0.13370000000000001</v>
      </c>
      <c r="CD33" s="38">
        <v>0.1326</v>
      </c>
      <c r="CE33" s="38">
        <v>0.13350000000000001</v>
      </c>
      <c r="CF33" s="38">
        <v>0.1351</v>
      </c>
      <c r="CG33" s="38">
        <v>0.1305</v>
      </c>
      <c r="CH33" s="38">
        <v>0.1353</v>
      </c>
      <c r="CI33" s="38">
        <v>0.13469999999999999</v>
      </c>
      <c r="CJ33" s="38">
        <v>0.1368</v>
      </c>
      <c r="CK33" s="38">
        <v>0.13569999999999999</v>
      </c>
      <c r="CL33" s="38">
        <v>0.13600000000000001</v>
      </c>
      <c r="CM33" s="38">
        <v>0.13730000000000001</v>
      </c>
      <c r="CN33" s="38">
        <v>0.13739999999999999</v>
      </c>
      <c r="CO33" s="38">
        <v>0.13689999999999999</v>
      </c>
      <c r="CP33" s="38">
        <v>0.13569999999999999</v>
      </c>
      <c r="CQ33" s="38">
        <v>0.13619999999999999</v>
      </c>
      <c r="CR33" s="38">
        <v>0.13880000000000001</v>
      </c>
      <c r="CS33" s="38">
        <v>0.13830000000000001</v>
      </c>
      <c r="CT33" s="38">
        <v>0.1358</v>
      </c>
      <c r="CU33" s="38">
        <v>0.1371</v>
      </c>
      <c r="CV33" s="38">
        <v>0.13800000000000001</v>
      </c>
      <c r="CW33" s="38">
        <v>0.13900000000000001</v>
      </c>
      <c r="CX33" s="38">
        <v>0.13830000000000001</v>
      </c>
      <c r="CY33" s="38">
        <v>0.13719999999999999</v>
      </c>
      <c r="CZ33" s="38">
        <v>0.13830000000000001</v>
      </c>
    </row>
    <row r="34" spans="1:104">
      <c r="A34" s="11">
        <v>2</v>
      </c>
      <c r="B34" s="62">
        <v>9.7299999999999998E-2</v>
      </c>
      <c r="C34" s="38">
        <v>9.9900000000000003E-2</v>
      </c>
      <c r="D34" s="38">
        <v>9.9500000000000005E-2</v>
      </c>
      <c r="E34" s="38">
        <v>9.4700000000000006E-2</v>
      </c>
      <c r="F34" s="38">
        <v>9.74E-2</v>
      </c>
      <c r="G34" s="38">
        <v>9.6000000000000002E-2</v>
      </c>
      <c r="H34" s="38">
        <v>9.8500000000000004E-2</v>
      </c>
      <c r="I34" s="38">
        <v>0.1007</v>
      </c>
      <c r="J34" s="38">
        <v>9.9599999999999994E-2</v>
      </c>
      <c r="K34" s="38">
        <v>0.1</v>
      </c>
      <c r="L34" s="38">
        <v>0.10100000000000001</v>
      </c>
      <c r="M34" s="38">
        <v>0.1018</v>
      </c>
      <c r="N34" s="38">
        <v>0.10100000000000001</v>
      </c>
      <c r="O34" s="38">
        <v>0.10199999999999999</v>
      </c>
      <c r="P34" s="38">
        <v>0.1004</v>
      </c>
      <c r="Q34" s="38">
        <v>0.1003</v>
      </c>
      <c r="R34" s="38">
        <v>0.10100000000000001</v>
      </c>
      <c r="S34" s="38">
        <v>9.8799999999999999E-2</v>
      </c>
      <c r="T34" s="38">
        <v>9.7299999999999998E-2</v>
      </c>
      <c r="U34" s="38">
        <v>9.7100000000000006E-2</v>
      </c>
      <c r="V34" s="38">
        <v>9.7199999999999995E-2</v>
      </c>
      <c r="W34" s="38">
        <v>9.8599999999999993E-2</v>
      </c>
      <c r="X34" s="38">
        <v>9.8400000000000001E-2</v>
      </c>
      <c r="Y34" s="38">
        <v>0.10050000000000001</v>
      </c>
      <c r="Z34" s="38">
        <v>0.10050000000000001</v>
      </c>
      <c r="AA34" s="38">
        <v>0.10050000000000001</v>
      </c>
      <c r="AB34" s="38">
        <v>0.10249999999999999</v>
      </c>
      <c r="AC34" s="38">
        <v>0.1038</v>
      </c>
      <c r="AD34" s="38">
        <v>0.1012</v>
      </c>
      <c r="AE34" s="38">
        <v>0.1003</v>
      </c>
      <c r="AF34" s="38">
        <v>0.1014</v>
      </c>
      <c r="AG34" s="38">
        <v>0.1003</v>
      </c>
      <c r="AH34" s="38">
        <v>0.1003</v>
      </c>
      <c r="AI34" s="38">
        <v>0.10249999999999999</v>
      </c>
      <c r="AJ34" s="38">
        <v>0.1037</v>
      </c>
      <c r="AK34" s="38">
        <v>0.1041</v>
      </c>
      <c r="AL34" s="38">
        <v>0.1061</v>
      </c>
      <c r="AM34" s="38">
        <v>0.10390000000000001</v>
      </c>
      <c r="AN34" s="38">
        <v>0.1053</v>
      </c>
      <c r="AO34" s="38">
        <v>0.104</v>
      </c>
      <c r="AP34" s="38">
        <v>0.1076</v>
      </c>
      <c r="AQ34" s="38">
        <v>0.1056</v>
      </c>
      <c r="AR34" s="38">
        <v>0.1043</v>
      </c>
      <c r="AS34" s="38">
        <v>0.1051</v>
      </c>
      <c r="AT34" s="38">
        <v>0.1076</v>
      </c>
      <c r="AU34" s="38">
        <v>0.107</v>
      </c>
      <c r="AV34" s="38">
        <v>0.10780000000000001</v>
      </c>
      <c r="AW34" s="38">
        <v>0.11</v>
      </c>
      <c r="AX34" s="38">
        <v>0.10829999999999999</v>
      </c>
      <c r="AY34" s="38">
        <v>0.11</v>
      </c>
      <c r="AZ34" s="38">
        <v>0.11169999999999999</v>
      </c>
      <c r="BA34" s="38">
        <v>0.11210000000000001</v>
      </c>
      <c r="BB34" s="38">
        <v>0.109</v>
      </c>
      <c r="BC34" s="38">
        <v>0.10920000000000001</v>
      </c>
      <c r="BD34" s="38">
        <v>0.111</v>
      </c>
      <c r="BE34" s="38">
        <v>0.11210000000000001</v>
      </c>
      <c r="BF34" s="38">
        <v>0.1119</v>
      </c>
      <c r="BG34" s="38">
        <v>0.1134</v>
      </c>
      <c r="BH34" s="38">
        <v>0.111</v>
      </c>
      <c r="BI34" s="38">
        <v>0.1115</v>
      </c>
      <c r="BJ34" s="38">
        <v>0.11070000000000001</v>
      </c>
      <c r="BK34" s="38">
        <v>0.112</v>
      </c>
      <c r="BL34" s="38">
        <v>0.112</v>
      </c>
      <c r="BM34" s="38">
        <v>0.1116</v>
      </c>
      <c r="BN34" s="38">
        <v>0.11360000000000001</v>
      </c>
      <c r="BO34" s="38">
        <v>0.1129</v>
      </c>
      <c r="BP34" s="38">
        <v>0.1154</v>
      </c>
      <c r="BQ34" s="38">
        <v>0.11310000000000001</v>
      </c>
      <c r="BR34" s="38">
        <v>0.1132</v>
      </c>
      <c r="BS34" s="38">
        <v>0.114</v>
      </c>
      <c r="BT34" s="38">
        <v>0.11609999999999999</v>
      </c>
      <c r="BU34" s="38">
        <v>0.1148</v>
      </c>
      <c r="BV34" s="38">
        <v>0.1172</v>
      </c>
      <c r="BW34" s="38">
        <v>0.1162</v>
      </c>
      <c r="BX34" s="38">
        <v>0.1174</v>
      </c>
      <c r="BY34" s="38">
        <v>0.11840000000000001</v>
      </c>
      <c r="BZ34" s="38">
        <v>0.121</v>
      </c>
      <c r="CA34" s="38">
        <v>0.12</v>
      </c>
      <c r="CB34" s="38">
        <v>0.11899999999999999</v>
      </c>
      <c r="CC34" s="38">
        <v>0.12</v>
      </c>
      <c r="CD34" s="38">
        <v>0.121</v>
      </c>
      <c r="CE34" s="38">
        <v>0.12</v>
      </c>
      <c r="CF34" s="38">
        <v>0.11899999999999999</v>
      </c>
      <c r="CG34" s="38">
        <v>0.12</v>
      </c>
      <c r="CH34" s="38">
        <v>0.12</v>
      </c>
      <c r="CI34" s="38">
        <v>0.1249</v>
      </c>
      <c r="CJ34" s="38">
        <v>0.126</v>
      </c>
      <c r="CK34" s="38">
        <v>0.1249</v>
      </c>
      <c r="CL34" s="38">
        <v>0.1265</v>
      </c>
      <c r="CM34" s="38">
        <v>0.12379999999999999</v>
      </c>
      <c r="CN34" s="38">
        <v>0.12670000000000001</v>
      </c>
      <c r="CO34" s="38">
        <v>0.1245</v>
      </c>
      <c r="CP34" s="38">
        <v>0.12470000000000001</v>
      </c>
      <c r="CQ34" s="38">
        <v>0.12720000000000001</v>
      </c>
      <c r="CR34" s="38">
        <v>0.12770000000000001</v>
      </c>
      <c r="CS34" s="38">
        <v>0.1263</v>
      </c>
      <c r="CT34" s="38">
        <v>0.12790000000000001</v>
      </c>
      <c r="CU34" s="38">
        <v>0.1273</v>
      </c>
      <c r="CV34" s="38">
        <v>0.129</v>
      </c>
      <c r="CW34" s="38">
        <v>0.129</v>
      </c>
      <c r="CX34" s="38">
        <v>0.12790000000000001</v>
      </c>
      <c r="CY34" s="38">
        <v>0.128</v>
      </c>
      <c r="CZ34" s="38">
        <v>0.12820000000000001</v>
      </c>
    </row>
    <row r="35" spans="1:104">
      <c r="A35" s="11"/>
    </row>
    <row r="36" spans="1:104">
      <c r="A36" s="55" t="s">
        <v>121</v>
      </c>
    </row>
    <row r="37" spans="1:104">
      <c r="A37" s="11"/>
      <c r="B37" t="s">
        <v>115</v>
      </c>
    </row>
    <row r="38" spans="1:104">
      <c r="A38" s="11" t="s">
        <v>116</v>
      </c>
      <c r="B38" s="61">
        <v>0</v>
      </c>
      <c r="C38" s="39">
        <v>80</v>
      </c>
      <c r="D38" s="39">
        <v>160</v>
      </c>
      <c r="E38" s="39">
        <v>310</v>
      </c>
      <c r="F38" s="39">
        <v>390</v>
      </c>
      <c r="G38" s="39">
        <v>470</v>
      </c>
      <c r="H38" s="39">
        <v>550</v>
      </c>
      <c r="I38" s="39">
        <v>630</v>
      </c>
      <c r="J38" s="39">
        <v>710</v>
      </c>
      <c r="K38" s="39">
        <v>790</v>
      </c>
      <c r="L38" s="39">
        <v>870</v>
      </c>
      <c r="M38" s="39">
        <v>950</v>
      </c>
      <c r="N38" s="39">
        <v>1030</v>
      </c>
      <c r="O38" s="39">
        <v>1110</v>
      </c>
      <c r="P38" s="39">
        <v>1190</v>
      </c>
      <c r="Q38" s="39">
        <v>1270</v>
      </c>
      <c r="R38" s="39">
        <v>1350</v>
      </c>
      <c r="S38" s="39">
        <v>1430</v>
      </c>
      <c r="T38" s="39">
        <v>1510</v>
      </c>
      <c r="U38" s="39">
        <v>1590</v>
      </c>
      <c r="V38" s="39">
        <v>1670</v>
      </c>
      <c r="W38" s="39">
        <v>1750</v>
      </c>
      <c r="X38" s="39">
        <v>1830</v>
      </c>
      <c r="Y38" s="39">
        <v>1910</v>
      </c>
      <c r="Z38" s="39">
        <v>1990</v>
      </c>
      <c r="AA38" s="39">
        <v>2070</v>
      </c>
      <c r="AB38" s="39">
        <v>2150</v>
      </c>
      <c r="AC38" s="39">
        <v>2230</v>
      </c>
      <c r="AD38" s="39">
        <v>2310</v>
      </c>
      <c r="AE38" s="39">
        <v>2390</v>
      </c>
      <c r="AF38" s="39">
        <v>2470</v>
      </c>
      <c r="AG38" s="39">
        <v>2550</v>
      </c>
      <c r="AH38" s="39">
        <v>2630</v>
      </c>
      <c r="AI38" s="39">
        <v>2710</v>
      </c>
      <c r="AJ38" s="39">
        <v>2790</v>
      </c>
      <c r="AK38" s="39">
        <v>2870</v>
      </c>
      <c r="AL38" s="39">
        <v>2950</v>
      </c>
      <c r="AM38" s="39">
        <v>3030</v>
      </c>
      <c r="AN38" s="39">
        <v>3110</v>
      </c>
      <c r="AO38" s="39">
        <v>3190</v>
      </c>
      <c r="AP38" s="39">
        <v>3270</v>
      </c>
      <c r="AQ38" s="39">
        <v>3350</v>
      </c>
      <c r="AR38" s="39">
        <v>3430</v>
      </c>
      <c r="AS38" s="39">
        <v>3510</v>
      </c>
      <c r="AT38" s="39">
        <v>3590</v>
      </c>
      <c r="AU38" s="39">
        <v>3670</v>
      </c>
      <c r="AV38" s="39">
        <v>3750</v>
      </c>
      <c r="AW38" s="39">
        <v>3830</v>
      </c>
      <c r="AX38" s="39">
        <v>3910</v>
      </c>
      <c r="AY38" s="39">
        <v>3990</v>
      </c>
      <c r="AZ38" s="39">
        <v>4070</v>
      </c>
      <c r="BA38" s="39">
        <v>4150</v>
      </c>
      <c r="BB38" s="39">
        <v>4230</v>
      </c>
      <c r="BC38" s="39">
        <v>4310</v>
      </c>
      <c r="BD38" s="39">
        <v>4390</v>
      </c>
      <c r="BE38" s="39">
        <v>4470</v>
      </c>
      <c r="BF38" s="39">
        <v>4550</v>
      </c>
      <c r="BG38" s="39">
        <v>4630</v>
      </c>
      <c r="BH38" s="39">
        <v>4710</v>
      </c>
      <c r="BI38" s="39">
        <v>4790</v>
      </c>
      <c r="BJ38" s="39">
        <v>4870</v>
      </c>
      <c r="BK38" s="39">
        <v>4950</v>
      </c>
      <c r="BL38" s="39">
        <v>5030</v>
      </c>
      <c r="BM38" s="39">
        <v>5110</v>
      </c>
      <c r="BN38" s="39">
        <v>5230</v>
      </c>
      <c r="BO38" s="39">
        <v>5350</v>
      </c>
      <c r="BP38" s="39">
        <v>5470</v>
      </c>
      <c r="BQ38" s="39">
        <v>5590</v>
      </c>
      <c r="BR38" s="39">
        <v>5710</v>
      </c>
      <c r="BS38" s="39">
        <v>5830</v>
      </c>
      <c r="BT38" s="39">
        <v>5950</v>
      </c>
      <c r="BU38" s="39">
        <v>6070</v>
      </c>
      <c r="BV38" s="39">
        <v>6190</v>
      </c>
      <c r="BW38" s="39">
        <v>6310</v>
      </c>
      <c r="BX38" s="39">
        <v>6430</v>
      </c>
      <c r="BY38" s="39">
        <v>6550</v>
      </c>
      <c r="BZ38" s="39">
        <v>6670</v>
      </c>
      <c r="CA38" s="39">
        <v>6790</v>
      </c>
      <c r="CB38" s="39">
        <v>6910</v>
      </c>
      <c r="CC38" s="39">
        <v>7030</v>
      </c>
      <c r="CD38" s="39">
        <v>7150</v>
      </c>
      <c r="CE38" s="39">
        <v>7270</v>
      </c>
      <c r="CF38" s="39">
        <v>7390</v>
      </c>
      <c r="CG38" s="39">
        <v>7510</v>
      </c>
      <c r="CH38" s="39">
        <v>7630</v>
      </c>
      <c r="CI38" s="39">
        <v>7750</v>
      </c>
      <c r="CJ38" s="39">
        <v>7870</v>
      </c>
      <c r="CK38" s="39">
        <v>7990</v>
      </c>
      <c r="CL38" s="39">
        <v>8110</v>
      </c>
      <c r="CM38" s="39">
        <v>8230</v>
      </c>
      <c r="CN38" s="39">
        <v>8350</v>
      </c>
      <c r="CO38" s="39">
        <v>8470</v>
      </c>
      <c r="CP38" s="39">
        <v>8590</v>
      </c>
      <c r="CQ38" s="39">
        <v>8710</v>
      </c>
      <c r="CR38" s="39">
        <v>8830</v>
      </c>
      <c r="CS38" s="39">
        <v>8950</v>
      </c>
      <c r="CT38" s="39">
        <v>9070</v>
      </c>
      <c r="CU38" s="39">
        <v>9190</v>
      </c>
      <c r="CV38" s="39">
        <v>9310</v>
      </c>
      <c r="CW38" s="39">
        <v>9430</v>
      </c>
      <c r="CX38" s="39">
        <v>9550</v>
      </c>
      <c r="CY38" s="39">
        <v>9670</v>
      </c>
      <c r="CZ38" s="39">
        <v>9790</v>
      </c>
    </row>
    <row r="39" spans="1:104">
      <c r="A39" s="11">
        <v>0</v>
      </c>
      <c r="B39" s="62">
        <v>6.1199999999999997E-2</v>
      </c>
      <c r="C39" s="40">
        <v>6.1400000000000003E-2</v>
      </c>
      <c r="D39" s="40">
        <v>6.1699999999999998E-2</v>
      </c>
      <c r="E39" s="40">
        <v>6.4100000000000004E-2</v>
      </c>
      <c r="F39" s="40">
        <v>6.8000000000000005E-2</v>
      </c>
      <c r="G39" s="40">
        <v>7.0999999999999994E-2</v>
      </c>
      <c r="H39" s="40">
        <v>7.5499999999999998E-2</v>
      </c>
      <c r="I39" s="40">
        <v>7.9200000000000007E-2</v>
      </c>
      <c r="J39" s="40">
        <v>7.9100000000000004E-2</v>
      </c>
      <c r="K39" s="40">
        <v>7.9899999999999999E-2</v>
      </c>
      <c r="L39" s="40">
        <v>7.8850000000000003E-2</v>
      </c>
      <c r="M39" s="40">
        <v>8.4400000000000003E-2</v>
      </c>
      <c r="N39" s="40">
        <v>8.5000000000000006E-2</v>
      </c>
      <c r="O39" s="40">
        <v>8.3599999999999994E-2</v>
      </c>
      <c r="P39" s="40">
        <v>8.7300000000000003E-2</v>
      </c>
      <c r="Q39" s="40">
        <v>8.924E-2</v>
      </c>
      <c r="R39" s="40">
        <v>8.7480000000000002E-2</v>
      </c>
      <c r="S39" s="40">
        <v>8.8499999999999995E-2</v>
      </c>
      <c r="T39" s="40">
        <v>8.8700000000000001E-2</v>
      </c>
      <c r="U39" s="40">
        <v>8.949E-2</v>
      </c>
      <c r="V39" s="40">
        <v>9.0999999999999998E-2</v>
      </c>
      <c r="W39" s="40">
        <v>9.4320000000000001E-2</v>
      </c>
      <c r="X39" s="40">
        <v>9.4399999999999998E-2</v>
      </c>
      <c r="Y39" s="40">
        <v>0.107</v>
      </c>
      <c r="Z39" s="40">
        <v>0.111</v>
      </c>
      <c r="AA39" s="40">
        <v>0.12</v>
      </c>
      <c r="AB39" s="40">
        <v>0.1255</v>
      </c>
      <c r="AC39" s="40">
        <v>0.1396</v>
      </c>
      <c r="AD39" s="40">
        <v>0.13800000000000001</v>
      </c>
      <c r="AE39" s="40">
        <v>0.14699999999999999</v>
      </c>
      <c r="AF39" s="40">
        <v>0.14760000000000001</v>
      </c>
      <c r="AG39" s="40">
        <v>0.1489</v>
      </c>
      <c r="AH39" s="40">
        <v>0.1565</v>
      </c>
      <c r="AI39" s="40">
        <v>0.16200000000000001</v>
      </c>
      <c r="AJ39" s="40">
        <v>0.17499999999999999</v>
      </c>
      <c r="AK39" s="40">
        <v>0.17949999999999999</v>
      </c>
      <c r="AL39" s="40">
        <v>0.186</v>
      </c>
      <c r="AM39" s="40">
        <v>0.191</v>
      </c>
      <c r="AN39" s="40">
        <v>0.20100000000000001</v>
      </c>
      <c r="AO39" s="40">
        <v>0.20599999999999999</v>
      </c>
      <c r="AP39" s="40">
        <v>0.21032000000000001</v>
      </c>
      <c r="AQ39" s="40">
        <v>0.21299999999999999</v>
      </c>
      <c r="AR39" s="40">
        <v>0.21836</v>
      </c>
      <c r="AS39" s="40">
        <v>0.22500000000000001</v>
      </c>
      <c r="AT39" s="40">
        <v>0.22339999999999999</v>
      </c>
      <c r="AU39" s="40">
        <v>0.22939999999999999</v>
      </c>
      <c r="AV39" s="40">
        <v>0.2316</v>
      </c>
      <c r="AW39" s="40">
        <v>0.2349</v>
      </c>
      <c r="AX39" s="40">
        <v>0.246</v>
      </c>
      <c r="AY39" s="40">
        <v>0.247</v>
      </c>
      <c r="AZ39" s="40">
        <v>0.25019999999999998</v>
      </c>
      <c r="BA39" s="40">
        <v>0.25700000000000001</v>
      </c>
      <c r="BB39" s="40">
        <v>0.26</v>
      </c>
      <c r="BC39" s="40">
        <v>0.26700000000000002</v>
      </c>
      <c r="BD39" s="40">
        <v>0.27060000000000001</v>
      </c>
      <c r="BE39" s="40">
        <v>0.27939999999999998</v>
      </c>
      <c r="BF39" s="40">
        <v>0.28199999999999997</v>
      </c>
      <c r="BG39" s="40">
        <v>0.28410000000000002</v>
      </c>
      <c r="BH39" s="40">
        <v>0.28599999999999998</v>
      </c>
      <c r="BI39" s="40">
        <v>0.28889999999999999</v>
      </c>
      <c r="BJ39" s="40">
        <v>0.2843</v>
      </c>
      <c r="BK39" s="40">
        <v>0.29099999999999998</v>
      </c>
      <c r="BL39" s="40">
        <v>0.29199999999999998</v>
      </c>
      <c r="BM39" s="40">
        <v>0.29310000000000003</v>
      </c>
      <c r="BN39" s="40">
        <v>0.29310000000000003</v>
      </c>
      <c r="BO39" s="40">
        <v>0.29380000000000001</v>
      </c>
      <c r="BP39" s="40">
        <v>0.29677999999999999</v>
      </c>
      <c r="BQ39" s="40">
        <v>0.29899999999999999</v>
      </c>
      <c r="BR39" s="40">
        <v>0.30399999999999999</v>
      </c>
      <c r="BS39" s="40">
        <v>0.30199999999999999</v>
      </c>
      <c r="BT39" s="40">
        <v>0.30499999999999999</v>
      </c>
      <c r="BU39" s="40">
        <v>0.30819999999999997</v>
      </c>
      <c r="BV39" s="40">
        <v>0.307</v>
      </c>
      <c r="BW39" s="40">
        <v>0.31</v>
      </c>
      <c r="BX39" s="40">
        <v>0.309</v>
      </c>
      <c r="BY39" s="40">
        <v>0.31140000000000001</v>
      </c>
      <c r="BZ39" s="40">
        <v>0.312</v>
      </c>
      <c r="CA39" s="40">
        <v>0.312</v>
      </c>
      <c r="CB39" s="40">
        <v>0.313</v>
      </c>
      <c r="CC39" s="40">
        <v>0.312</v>
      </c>
      <c r="CD39" s="40">
        <v>0.314</v>
      </c>
      <c r="CE39" s="40">
        <v>0.315</v>
      </c>
      <c r="CF39" s="40">
        <v>0.316</v>
      </c>
      <c r="CG39" s="40">
        <v>0.31540000000000001</v>
      </c>
      <c r="CH39" s="40">
        <v>0.316</v>
      </c>
      <c r="CI39" s="40">
        <v>0.316</v>
      </c>
      <c r="CJ39" s="40">
        <v>0.314</v>
      </c>
      <c r="CK39" s="40">
        <v>0.315</v>
      </c>
      <c r="CL39" s="40">
        <v>0.31900000000000001</v>
      </c>
      <c r="CM39" s="40">
        <v>0.32</v>
      </c>
      <c r="CN39" s="40">
        <v>0.31900000000000001</v>
      </c>
      <c r="CO39" s="40">
        <v>0.31559999999999999</v>
      </c>
      <c r="CP39" s="40">
        <v>0.31609999999999999</v>
      </c>
      <c r="CQ39" s="40">
        <v>0.31780000000000003</v>
      </c>
      <c r="CR39" s="40">
        <v>0.31709999999999999</v>
      </c>
      <c r="CS39" s="40">
        <v>0.319936</v>
      </c>
      <c r="CT39" s="40">
        <v>0.32190000000000002</v>
      </c>
      <c r="CU39" s="40">
        <v>0.32052000000000003</v>
      </c>
      <c r="CV39" s="40">
        <v>0.32074999999999998</v>
      </c>
      <c r="CW39" s="40">
        <v>0.31969999999999998</v>
      </c>
      <c r="CX39" s="40">
        <v>0.31819999999999998</v>
      </c>
      <c r="CY39" s="40">
        <v>0.31609999999999999</v>
      </c>
      <c r="CZ39" s="40">
        <v>0.32066</v>
      </c>
    </row>
    <row r="40" spans="1:104">
      <c r="A40" s="11">
        <v>0.25</v>
      </c>
      <c r="B40" s="62">
        <v>6.7199999999999996E-2</v>
      </c>
      <c r="C40" s="40">
        <v>6.5000000000000002E-2</v>
      </c>
      <c r="D40" s="40">
        <v>6.6699999999999995E-2</v>
      </c>
      <c r="E40" s="40">
        <v>6.8000000000000005E-2</v>
      </c>
      <c r="F40" s="40">
        <v>7.0999999999999994E-2</v>
      </c>
      <c r="G40" s="40">
        <v>7.5300000000000006E-2</v>
      </c>
      <c r="H40" s="40">
        <v>7.8E-2</v>
      </c>
      <c r="I40" s="40">
        <v>7.9000000000000001E-2</v>
      </c>
      <c r="J40" s="40">
        <v>7.8100000000000003E-2</v>
      </c>
      <c r="K40" s="40">
        <v>8.1799999999999998E-2</v>
      </c>
      <c r="L40" s="40">
        <v>7.8100000000000003E-2</v>
      </c>
      <c r="M40" s="40">
        <v>7.9000000000000001E-2</v>
      </c>
      <c r="N40" s="40">
        <v>7.85E-2</v>
      </c>
      <c r="O40" s="40">
        <v>7.8600000000000003E-2</v>
      </c>
      <c r="P40" s="40">
        <v>7.7299999999999994E-2</v>
      </c>
      <c r="Q40" s="40">
        <v>8.2400000000000001E-2</v>
      </c>
      <c r="R40" s="40">
        <v>8.1100000000000005E-2</v>
      </c>
      <c r="S40" s="40">
        <v>8.1000000000000003E-2</v>
      </c>
      <c r="T40" s="40">
        <v>8.2699999999999996E-2</v>
      </c>
      <c r="U40" s="40">
        <v>8.2489999999999994E-2</v>
      </c>
      <c r="V40" s="40">
        <v>8.1809999999999994E-2</v>
      </c>
      <c r="W40" s="40">
        <v>8.3199999999999996E-2</v>
      </c>
      <c r="X40" s="40">
        <v>8.2400000000000001E-2</v>
      </c>
      <c r="Y40" s="40">
        <v>8.3699999999999997E-2</v>
      </c>
      <c r="Z40" s="40">
        <v>8.1030000000000005E-2</v>
      </c>
      <c r="AA40" s="40">
        <v>9.3200000000000005E-2</v>
      </c>
      <c r="AB40" s="40">
        <v>9.8100000000000007E-2</v>
      </c>
      <c r="AC40" s="40">
        <v>0.1096</v>
      </c>
      <c r="AD40" s="40">
        <v>0.1128</v>
      </c>
      <c r="AE40" s="40">
        <v>0.11347</v>
      </c>
      <c r="AF40" s="40">
        <v>0.11876</v>
      </c>
      <c r="AG40" s="40">
        <v>0.12189</v>
      </c>
      <c r="AH40" s="40">
        <v>0.128</v>
      </c>
      <c r="AI40" s="40">
        <v>0.13600000000000001</v>
      </c>
      <c r="AJ40" s="40">
        <v>0.13800000000000001</v>
      </c>
      <c r="AK40" s="40">
        <v>0.14499999999999999</v>
      </c>
      <c r="AL40" s="40">
        <v>0.14760000000000001</v>
      </c>
      <c r="AM40" s="40">
        <v>0.151</v>
      </c>
      <c r="AN40" s="40">
        <v>0.16139999999999999</v>
      </c>
      <c r="AO40" s="40">
        <v>0.16600000000000001</v>
      </c>
      <c r="AP40" s="40">
        <v>0.17199999999999999</v>
      </c>
      <c r="AQ40" s="40">
        <v>0.17530000000000001</v>
      </c>
      <c r="AR40" s="40">
        <v>0.186</v>
      </c>
      <c r="AS40" s="40">
        <v>0.185</v>
      </c>
      <c r="AT40" s="40">
        <v>0.188</v>
      </c>
      <c r="AU40" s="40">
        <v>0.19400000000000001</v>
      </c>
      <c r="AV40" s="40">
        <v>0.20599999999999999</v>
      </c>
      <c r="AW40" s="40">
        <v>0.20499999999999999</v>
      </c>
      <c r="AX40" s="40">
        <v>0.2109</v>
      </c>
      <c r="AY40" s="40">
        <v>0.21199999999999999</v>
      </c>
      <c r="AZ40" s="40">
        <v>0.22020000000000001</v>
      </c>
      <c r="BA40" s="40">
        <v>0.22370000000000001</v>
      </c>
      <c r="BB40" s="40">
        <v>0.22639999999999999</v>
      </c>
      <c r="BC40" s="40">
        <v>0.23699999999999999</v>
      </c>
      <c r="BD40" s="40">
        <v>0.24506</v>
      </c>
      <c r="BE40" s="40">
        <v>0.24940000000000001</v>
      </c>
      <c r="BF40" s="40">
        <v>0.248</v>
      </c>
      <c r="BG40" s="40">
        <v>0.24510000000000001</v>
      </c>
      <c r="BH40" s="40">
        <v>0.24959999999999999</v>
      </c>
      <c r="BI40" s="40">
        <v>0.25189</v>
      </c>
      <c r="BJ40" s="40">
        <v>0.25642999999999999</v>
      </c>
      <c r="BK40" s="40">
        <v>0.26479999999999998</v>
      </c>
      <c r="BL40" s="40">
        <v>0.26819999999999999</v>
      </c>
      <c r="BM40" s="40">
        <v>0.2671</v>
      </c>
      <c r="BN40" s="40">
        <v>0.26910000000000001</v>
      </c>
      <c r="BO40" s="40">
        <v>0.27379999999999999</v>
      </c>
      <c r="BP40" s="40">
        <v>0.27198</v>
      </c>
      <c r="BQ40" s="40">
        <v>0.27289999999999998</v>
      </c>
      <c r="BR40" s="40">
        <v>0.27439999999999998</v>
      </c>
      <c r="BS40" s="40">
        <v>0.2762</v>
      </c>
      <c r="BT40" s="40">
        <v>0.27834999999999999</v>
      </c>
      <c r="BU40" s="40">
        <v>0.27861999999999998</v>
      </c>
      <c r="BV40" s="40">
        <v>0.27883999999999998</v>
      </c>
      <c r="BW40" s="40">
        <v>0.27904000000000001</v>
      </c>
      <c r="BX40" s="40">
        <v>0.28060000000000002</v>
      </c>
      <c r="BY40" s="40">
        <v>0.28399999999999997</v>
      </c>
      <c r="BZ40" s="40">
        <v>0.28703000000000001</v>
      </c>
      <c r="CA40" s="40">
        <v>0.28799999999999998</v>
      </c>
      <c r="CB40" s="40">
        <v>0.2908</v>
      </c>
      <c r="CC40" s="40">
        <v>0.29139999999999999</v>
      </c>
      <c r="CD40" s="40">
        <v>0.28739999999999999</v>
      </c>
      <c r="CE40" s="40">
        <v>0.29065999999999997</v>
      </c>
      <c r="CF40" s="40">
        <v>0.29049999999999998</v>
      </c>
      <c r="CG40" s="40">
        <v>0.29054000000000002</v>
      </c>
      <c r="CH40" s="40">
        <v>0.2908</v>
      </c>
      <c r="CI40" s="40">
        <v>0.28999999999999998</v>
      </c>
      <c r="CJ40" s="40">
        <v>0.29099999999999998</v>
      </c>
      <c r="CK40" s="40">
        <v>0.29239999999999999</v>
      </c>
      <c r="CL40" s="40">
        <v>0.29199999999999998</v>
      </c>
      <c r="CM40" s="40">
        <v>0.29199999999999998</v>
      </c>
      <c r="CN40" s="40">
        <v>0.29299999999999998</v>
      </c>
      <c r="CO40" s="40">
        <v>0.29299999999999998</v>
      </c>
      <c r="CP40" s="40">
        <v>0.29360000000000003</v>
      </c>
      <c r="CQ40" s="40">
        <v>0.29399999999999998</v>
      </c>
      <c r="CR40" s="40">
        <v>0.29599999999999999</v>
      </c>
      <c r="CS40" s="40">
        <v>0.29499999999999998</v>
      </c>
      <c r="CT40" s="40">
        <v>0.29699999999999999</v>
      </c>
      <c r="CU40" s="40">
        <v>0.29699999999999999</v>
      </c>
      <c r="CV40" s="40">
        <v>0.29749999999999999</v>
      </c>
      <c r="CW40" s="40">
        <v>0.29699999999999999</v>
      </c>
      <c r="CX40" s="40">
        <v>0.29781999999999997</v>
      </c>
      <c r="CY40" s="40">
        <v>0.29860999999999999</v>
      </c>
      <c r="CZ40" s="40">
        <v>0.29765999999999998</v>
      </c>
    </row>
    <row r="41" spans="1:104">
      <c r="A41" s="11">
        <v>0.5</v>
      </c>
      <c r="B41" s="62">
        <v>6.8000000000000005E-2</v>
      </c>
      <c r="C41" s="40">
        <v>6.7599999999999993E-2</v>
      </c>
      <c r="D41" s="40">
        <v>6.6699999999999995E-2</v>
      </c>
      <c r="E41" s="40">
        <v>6.8500000000000005E-2</v>
      </c>
      <c r="F41" s="40">
        <v>6.8489999999999995E-2</v>
      </c>
      <c r="G41" s="40">
        <v>6.93E-2</v>
      </c>
      <c r="H41" s="40">
        <v>6.7699999999999996E-2</v>
      </c>
      <c r="I41" s="40">
        <v>7.9200000000000007E-2</v>
      </c>
      <c r="J41" s="40">
        <v>7.8899999999999998E-2</v>
      </c>
      <c r="K41" s="40">
        <v>7.9500000000000001E-2</v>
      </c>
      <c r="L41" s="40">
        <v>7.8299999999999995E-2</v>
      </c>
      <c r="M41" s="40">
        <v>7.8140000000000001E-2</v>
      </c>
      <c r="N41" s="40">
        <v>7.8134999999999996E-2</v>
      </c>
      <c r="O41" s="40">
        <v>7.8126000000000001E-2</v>
      </c>
      <c r="P41" s="40">
        <v>7.9162999999999997E-2</v>
      </c>
      <c r="Q41" s="40">
        <v>7.9124E-2</v>
      </c>
      <c r="R41" s="40">
        <v>7.9147999999999996E-2</v>
      </c>
      <c r="S41" s="40">
        <v>7.9235E-2</v>
      </c>
      <c r="T41" s="40">
        <v>7.8700000000000006E-2</v>
      </c>
      <c r="U41" s="40">
        <v>7.9249E-2</v>
      </c>
      <c r="V41" s="40">
        <v>7.9228809999999997E-2</v>
      </c>
      <c r="W41" s="40">
        <v>8.2299999999999998E-2</v>
      </c>
      <c r="X41" s="40">
        <v>8.2400000000000001E-2</v>
      </c>
      <c r="Y41" s="40">
        <v>8.1699999999999995E-2</v>
      </c>
      <c r="Z41" s="40">
        <v>8.4029999999999994E-2</v>
      </c>
      <c r="AA41" s="40">
        <v>8.5313200000000006E-2</v>
      </c>
      <c r="AB41" s="40">
        <v>8.5500000000000007E-2</v>
      </c>
      <c r="AC41" s="40">
        <v>8.9599999999999999E-2</v>
      </c>
      <c r="AD41" s="40">
        <v>9.1800000000000007E-2</v>
      </c>
      <c r="AE41" s="40">
        <v>9.8570000000000005E-2</v>
      </c>
      <c r="AF41" s="40">
        <v>9.7500000000000003E-2</v>
      </c>
      <c r="AG41" s="40">
        <v>0.1089</v>
      </c>
      <c r="AH41" s="40">
        <v>0.1109</v>
      </c>
      <c r="AI41" s="40">
        <v>0.11990000000000001</v>
      </c>
      <c r="AJ41" s="40">
        <v>0.1182</v>
      </c>
      <c r="AK41" s="40">
        <v>0.125</v>
      </c>
      <c r="AL41" s="40">
        <v>0.12659999999999999</v>
      </c>
      <c r="AM41" s="40">
        <v>0.12809999999999999</v>
      </c>
      <c r="AN41" s="40">
        <v>0.13800000000000001</v>
      </c>
      <c r="AO41" s="40">
        <v>0.1426</v>
      </c>
      <c r="AP41" s="40">
        <v>0.14332</v>
      </c>
      <c r="AQ41" s="40">
        <v>0.14430000000000001</v>
      </c>
      <c r="AR41" s="40">
        <v>0.15160000000000001</v>
      </c>
      <c r="AS41" s="40">
        <v>0.159</v>
      </c>
      <c r="AT41" s="40">
        <v>0.16539999999999999</v>
      </c>
      <c r="AU41" s="40">
        <v>0.16974</v>
      </c>
      <c r="AV41" s="40">
        <v>0.172926</v>
      </c>
      <c r="AW41" s="40">
        <v>0.17299999999999999</v>
      </c>
      <c r="AX41" s="40">
        <v>0.186</v>
      </c>
      <c r="AY41" s="40">
        <v>0.192</v>
      </c>
      <c r="AZ41" s="40">
        <v>0.19800000000000001</v>
      </c>
      <c r="BA41" s="40">
        <v>0.1981</v>
      </c>
      <c r="BB41" s="40">
        <v>0.1983</v>
      </c>
      <c r="BC41" s="40">
        <v>0.20399999999999999</v>
      </c>
      <c r="BD41" s="40">
        <v>0.20899999999999999</v>
      </c>
      <c r="BE41" s="40">
        <v>0.21093999999999999</v>
      </c>
      <c r="BF41" s="40">
        <v>0.22600000000000001</v>
      </c>
      <c r="BG41" s="40">
        <v>0.21959999999999999</v>
      </c>
      <c r="BH41" s="40">
        <v>0.22989999999999999</v>
      </c>
      <c r="BI41" s="40">
        <v>0.22900999999999999</v>
      </c>
      <c r="BJ41" s="40">
        <v>0.2293</v>
      </c>
      <c r="BK41" s="40">
        <v>0.2306</v>
      </c>
      <c r="BL41" s="40">
        <v>0.23200000000000001</v>
      </c>
      <c r="BM41" s="40">
        <v>0.2351</v>
      </c>
      <c r="BN41" s="40">
        <v>0.23699999999999999</v>
      </c>
      <c r="BO41" s="40">
        <v>0.24138000000000001</v>
      </c>
      <c r="BP41" s="40">
        <v>0.24298</v>
      </c>
      <c r="BQ41" s="40">
        <v>0.24229999999999999</v>
      </c>
      <c r="BR41" s="40">
        <v>0.247</v>
      </c>
      <c r="BS41" s="40">
        <v>0.24812000000000001</v>
      </c>
      <c r="BT41" s="40">
        <v>0.2505</v>
      </c>
      <c r="BU41" s="40">
        <v>0.25119999999999998</v>
      </c>
      <c r="BV41" s="40">
        <v>0.25328400000000001</v>
      </c>
      <c r="BW41" s="40">
        <v>0.25340000000000001</v>
      </c>
      <c r="BX41" s="40">
        <v>0.25635599999999997</v>
      </c>
      <c r="BY41" s="40">
        <v>0.25700000000000001</v>
      </c>
      <c r="BZ41" s="40">
        <v>0.25900000000000001</v>
      </c>
      <c r="CA41" s="40">
        <v>0.26100000000000001</v>
      </c>
      <c r="CB41" s="40">
        <v>0.26279999999999998</v>
      </c>
      <c r="CC41" s="40">
        <v>0.26434999999999997</v>
      </c>
      <c r="CD41" s="40">
        <v>0.26440000000000002</v>
      </c>
      <c r="CE41" s="40">
        <v>0.26490000000000002</v>
      </c>
      <c r="CF41" s="40">
        <v>0.26400000000000001</v>
      </c>
      <c r="CG41" s="40">
        <v>0.26643</v>
      </c>
      <c r="CH41" s="40">
        <v>0.27100000000000002</v>
      </c>
      <c r="CI41" s="40">
        <v>0.27250000000000002</v>
      </c>
      <c r="CJ41" s="40">
        <v>0.27300000000000002</v>
      </c>
      <c r="CK41" s="40">
        <v>0.27260000000000001</v>
      </c>
      <c r="CL41" s="40">
        <v>0.27150000000000002</v>
      </c>
      <c r="CM41" s="40">
        <v>0.26900000000000002</v>
      </c>
      <c r="CN41" s="40">
        <v>0.26850000000000002</v>
      </c>
      <c r="CO41" s="40">
        <v>0.26979999999999998</v>
      </c>
      <c r="CP41" s="40">
        <v>0.26700000000000002</v>
      </c>
      <c r="CQ41" s="40">
        <v>0.26900000000000002</v>
      </c>
      <c r="CR41" s="40">
        <v>0.26950000000000002</v>
      </c>
      <c r="CS41" s="40">
        <v>0.27</v>
      </c>
      <c r="CT41" s="40">
        <v>0.27200000000000002</v>
      </c>
      <c r="CU41" s="40">
        <v>0.27200000000000002</v>
      </c>
      <c r="CV41" s="40">
        <v>0.27300000000000002</v>
      </c>
      <c r="CW41" s="40">
        <v>0.27400000000000002</v>
      </c>
      <c r="CX41" s="40">
        <v>0.27200000000000002</v>
      </c>
      <c r="CY41" s="40">
        <v>0.27900000000000003</v>
      </c>
      <c r="CZ41" s="40">
        <v>0.27900000000000003</v>
      </c>
    </row>
    <row r="42" spans="1:104" ht="11.25" customHeight="1">
      <c r="A42" s="11">
        <v>1</v>
      </c>
      <c r="B42" s="62">
        <v>6.59E-2</v>
      </c>
      <c r="C42" s="40">
        <v>6.0999999999999999E-2</v>
      </c>
      <c r="D42" s="40">
        <v>6.8000000000000005E-2</v>
      </c>
      <c r="E42" s="40">
        <v>7.1599999999999997E-2</v>
      </c>
      <c r="F42" s="40">
        <v>7.2603000000000001E-2</v>
      </c>
      <c r="G42" s="40">
        <v>7.3679999999999995E-2</v>
      </c>
      <c r="H42" s="40">
        <v>7.6999999999999999E-2</v>
      </c>
      <c r="I42" s="40">
        <v>7.6399999999999996E-2</v>
      </c>
      <c r="J42" s="40">
        <v>7.639E-2</v>
      </c>
      <c r="K42" s="40">
        <v>7.6850000000000002E-2</v>
      </c>
      <c r="L42" s="40">
        <v>7.6340000000000005E-2</v>
      </c>
      <c r="M42" s="40">
        <v>7.6660000000000006E-2</v>
      </c>
      <c r="N42" s="40">
        <v>8.6540000000000006E-2</v>
      </c>
      <c r="O42" s="40">
        <v>8.7800000000000003E-2</v>
      </c>
      <c r="P42" s="40">
        <v>8.6730000000000002E-2</v>
      </c>
      <c r="Q42" s="40">
        <v>9.6769999999999995E-2</v>
      </c>
      <c r="R42" s="40">
        <v>8.4599999999999995E-2</v>
      </c>
      <c r="S42" s="40">
        <v>8.7120000000000003E-2</v>
      </c>
      <c r="T42" s="40">
        <v>8.6499999999999994E-2</v>
      </c>
      <c r="U42" s="40">
        <v>8.6730000000000002E-2</v>
      </c>
      <c r="V42" s="40">
        <v>8.7120000000000003E-2</v>
      </c>
      <c r="W42" s="40">
        <v>8.7359999999999993E-2</v>
      </c>
      <c r="X42" s="40">
        <v>8.6940000000000003E-2</v>
      </c>
      <c r="Y42" s="40">
        <v>8.7639999999999996E-2</v>
      </c>
      <c r="Z42" s="40">
        <v>8.7309999999999999E-2</v>
      </c>
      <c r="AA42" s="40">
        <v>8.7620000000000003E-2</v>
      </c>
      <c r="AB42" s="40">
        <v>9.06E-2</v>
      </c>
      <c r="AC42" s="40">
        <v>9.1777999999999998E-2</v>
      </c>
      <c r="AD42" s="40">
        <v>9.2899999999999996E-2</v>
      </c>
      <c r="AE42" s="40">
        <v>9.8799999999999999E-2</v>
      </c>
      <c r="AF42" s="40">
        <v>9.7210000000000005E-2</v>
      </c>
      <c r="AG42" s="40">
        <v>9.8799999999999999E-2</v>
      </c>
      <c r="AH42" s="40">
        <v>9.6299999999999997E-2</v>
      </c>
      <c r="AI42" s="40">
        <v>9.4299999999999995E-2</v>
      </c>
      <c r="AJ42" s="40">
        <v>0.1008</v>
      </c>
      <c r="AK42" s="40">
        <v>0.1052</v>
      </c>
      <c r="AL42" s="40">
        <v>0.111</v>
      </c>
      <c r="AM42" s="40">
        <v>0.11749999999999999</v>
      </c>
      <c r="AN42" s="40">
        <v>0.11849999999999999</v>
      </c>
      <c r="AO42" s="40">
        <v>0.1211</v>
      </c>
      <c r="AP42" s="40">
        <v>0.125</v>
      </c>
      <c r="AQ42" s="40">
        <v>0.1298</v>
      </c>
      <c r="AR42" s="40">
        <v>0.1283</v>
      </c>
      <c r="AS42" s="40">
        <v>0.13</v>
      </c>
      <c r="AT42" s="40">
        <v>0.13400000000000001</v>
      </c>
      <c r="AU42" s="40">
        <v>0.14199999999999999</v>
      </c>
      <c r="AV42" s="40">
        <v>0.151</v>
      </c>
      <c r="AW42" s="40">
        <v>0.153</v>
      </c>
      <c r="AX42" s="40">
        <v>0.158</v>
      </c>
      <c r="AY42" s="40">
        <v>0.1598</v>
      </c>
      <c r="AZ42" s="40">
        <v>0.16200000000000001</v>
      </c>
      <c r="BA42" s="40">
        <v>0.16500000000000001</v>
      </c>
      <c r="BB42" s="40">
        <v>0.16800000000000001</v>
      </c>
      <c r="BC42" s="40">
        <v>0.17100000000000001</v>
      </c>
      <c r="BD42" s="40">
        <v>0.17899999999999999</v>
      </c>
      <c r="BE42" s="40">
        <v>0.18049999999999999</v>
      </c>
      <c r="BF42" s="40">
        <v>0.181557</v>
      </c>
      <c r="BG42" s="40">
        <v>0.188</v>
      </c>
      <c r="BH42" s="40">
        <v>0.18690000000000001</v>
      </c>
      <c r="BI42" s="40">
        <v>0.18754999999999999</v>
      </c>
      <c r="BJ42" s="40">
        <v>0.18609999999999999</v>
      </c>
      <c r="BK42" s="40">
        <v>0.19162000000000001</v>
      </c>
      <c r="BL42" s="40">
        <v>0.19209999999999999</v>
      </c>
      <c r="BM42" s="40">
        <v>0.19409999999999999</v>
      </c>
      <c r="BN42" s="40">
        <v>0.1928</v>
      </c>
      <c r="BO42" s="40">
        <v>0.19664999999999999</v>
      </c>
      <c r="BP42" s="40">
        <v>0.19614000000000001</v>
      </c>
      <c r="BQ42" s="40">
        <v>0.19675000000000001</v>
      </c>
      <c r="BR42" s="40">
        <v>0.1966</v>
      </c>
      <c r="BS42" s="40">
        <v>0.1988</v>
      </c>
      <c r="BT42" s="40">
        <v>0.20100000000000001</v>
      </c>
      <c r="BU42" s="40">
        <v>0.20710999999999999</v>
      </c>
      <c r="BV42" s="40">
        <v>0.20713000000000001</v>
      </c>
      <c r="BW42" s="40">
        <v>0.20723</v>
      </c>
      <c r="BX42" s="40">
        <v>0.20759</v>
      </c>
      <c r="BY42" s="40">
        <v>0.21052999999999999</v>
      </c>
      <c r="BZ42" s="40">
        <v>0.21379999999999999</v>
      </c>
      <c r="CA42" s="40">
        <v>0.21759000000000001</v>
      </c>
      <c r="CB42" s="40">
        <v>0.21751000000000001</v>
      </c>
      <c r="CC42" s="40">
        <v>0.21734000000000001</v>
      </c>
      <c r="CD42" s="40">
        <v>0.21714</v>
      </c>
      <c r="CE42" s="40">
        <v>0.21731</v>
      </c>
      <c r="CF42" s="40">
        <v>0.218</v>
      </c>
      <c r="CG42" s="40">
        <v>0.21718000000000001</v>
      </c>
      <c r="CH42" s="40">
        <v>0.21751999999999999</v>
      </c>
      <c r="CI42" s="40">
        <v>0.21745999999999999</v>
      </c>
      <c r="CJ42" s="40">
        <v>0.21740999999999999</v>
      </c>
      <c r="CK42" s="40">
        <v>0.21767</v>
      </c>
      <c r="CL42" s="40">
        <v>0.21768000000000001</v>
      </c>
      <c r="CM42" s="40">
        <v>0.21806</v>
      </c>
      <c r="CN42" s="40">
        <v>0.21776999999999999</v>
      </c>
      <c r="CO42" s="40">
        <v>0.21789</v>
      </c>
      <c r="CP42" s="40">
        <v>0.21770999999999999</v>
      </c>
      <c r="CQ42" s="40">
        <v>0.21812999999999999</v>
      </c>
      <c r="CR42" s="40">
        <v>0.21790000000000001</v>
      </c>
      <c r="CS42" s="40">
        <v>0.21795</v>
      </c>
      <c r="CT42" s="40">
        <v>0.21798999999999999</v>
      </c>
      <c r="CU42" s="40">
        <v>0.21831</v>
      </c>
      <c r="CV42" s="40">
        <v>0.21826999999999999</v>
      </c>
      <c r="CW42" s="40">
        <v>0.21833</v>
      </c>
      <c r="CX42" s="40">
        <v>0.219</v>
      </c>
      <c r="CY42" s="40">
        <v>0.219</v>
      </c>
      <c r="CZ42" s="40">
        <v>0.2276</v>
      </c>
    </row>
    <row r="43" spans="1:104">
      <c r="A43" s="11">
        <v>2</v>
      </c>
      <c r="B43" s="62">
        <v>7.2599999999999998E-2</v>
      </c>
      <c r="C43" s="40">
        <v>7.0800000000000002E-2</v>
      </c>
      <c r="D43" s="40">
        <v>7.8399999999999997E-2</v>
      </c>
      <c r="E43" s="40">
        <v>6.9699999999999998E-2</v>
      </c>
      <c r="F43" s="40">
        <v>7.0599999999999996E-2</v>
      </c>
      <c r="G43" s="40">
        <v>7.46E-2</v>
      </c>
      <c r="H43" s="40">
        <v>6.6000000000000003E-2</v>
      </c>
      <c r="I43" s="40">
        <v>6.7470000000000002E-2</v>
      </c>
      <c r="J43" s="40">
        <v>6.7559999999999995E-2</v>
      </c>
      <c r="K43" s="40">
        <v>7.6809000000000002E-2</v>
      </c>
      <c r="L43" s="40">
        <v>7.6100000000000001E-2</v>
      </c>
      <c r="M43" s="40">
        <v>7.3899999999999993E-2</v>
      </c>
      <c r="N43" s="40">
        <v>7.46E-2</v>
      </c>
      <c r="O43" s="40">
        <v>8.4000000000000005E-2</v>
      </c>
      <c r="P43" s="40">
        <v>8.6400000000000005E-2</v>
      </c>
      <c r="Q43" s="40">
        <v>8.3000000000000004E-2</v>
      </c>
      <c r="R43" s="40">
        <v>8.7999999999999995E-2</v>
      </c>
      <c r="S43" s="40">
        <v>8.9800000000000005E-2</v>
      </c>
      <c r="T43" s="40">
        <v>9.1600000000000001E-2</v>
      </c>
      <c r="U43" s="40">
        <v>9.1777999999999998E-2</v>
      </c>
      <c r="V43" s="40">
        <v>9.1828000000000007E-2</v>
      </c>
      <c r="W43" s="40">
        <v>9.2840000000000006E-2</v>
      </c>
      <c r="X43" s="40">
        <v>9.3770000000000006E-2</v>
      </c>
      <c r="Y43" s="40">
        <v>9.3460000000000001E-2</v>
      </c>
      <c r="Z43" s="40">
        <v>9.4E-2</v>
      </c>
      <c r="AA43" s="40">
        <v>9.8100000000000007E-2</v>
      </c>
      <c r="AB43" s="40">
        <v>9.8000000000000004E-2</v>
      </c>
      <c r="AC43" s="40">
        <v>9.9835999999999994E-2</v>
      </c>
      <c r="AD43" s="40">
        <v>0.1037</v>
      </c>
      <c r="AE43" s="40">
        <v>0.10872999999999999</v>
      </c>
      <c r="AF43" s="40">
        <v>0.10807</v>
      </c>
      <c r="AG43" s="40">
        <v>0.10861999999999999</v>
      </c>
      <c r="AH43" s="40">
        <v>0.10865</v>
      </c>
      <c r="AI43" s="40">
        <v>0.10829999999999999</v>
      </c>
      <c r="AJ43" s="40">
        <v>0.10818999999999999</v>
      </c>
      <c r="AK43" s="40">
        <v>0.10842</v>
      </c>
      <c r="AL43" s="40">
        <v>0.10920000000000001</v>
      </c>
      <c r="AM43" s="40">
        <v>0.10907</v>
      </c>
      <c r="AN43" s="40">
        <v>0.10922999999999999</v>
      </c>
      <c r="AO43" s="40">
        <v>0.1109</v>
      </c>
      <c r="AP43" s="40">
        <v>0.11236</v>
      </c>
      <c r="AQ43" s="40">
        <v>0.11360000000000001</v>
      </c>
      <c r="AR43" s="40">
        <v>0.1186</v>
      </c>
      <c r="AS43" s="40">
        <v>0.11859</v>
      </c>
      <c r="AT43" s="40">
        <v>0.11856</v>
      </c>
      <c r="AU43" s="40">
        <v>0.11909</v>
      </c>
      <c r="AV43" s="40">
        <v>0.1217</v>
      </c>
      <c r="AW43" s="40">
        <v>0.1258</v>
      </c>
      <c r="AX43" s="40">
        <v>0.12911</v>
      </c>
      <c r="AY43" s="40">
        <v>0.12987000000000001</v>
      </c>
      <c r="AZ43" s="40">
        <v>0.13078999999999999</v>
      </c>
      <c r="BA43" s="40">
        <v>0.13894000000000001</v>
      </c>
      <c r="BB43" s="40">
        <v>0.13966000000000001</v>
      </c>
      <c r="BC43" s="40">
        <v>0.14384</v>
      </c>
      <c r="BD43" s="40">
        <v>0.14610000000000001</v>
      </c>
      <c r="BE43" s="40">
        <v>0.14799999999999999</v>
      </c>
      <c r="BF43" s="40">
        <v>0.14899999999999999</v>
      </c>
      <c r="BG43" s="40">
        <v>0.15198</v>
      </c>
      <c r="BH43" s="40">
        <v>0.15959999999999999</v>
      </c>
      <c r="BI43" s="40">
        <v>0.16009999999999999</v>
      </c>
      <c r="BJ43" s="40">
        <v>0.159</v>
      </c>
      <c r="BK43" s="40">
        <v>0.16241</v>
      </c>
      <c r="BL43" s="40">
        <v>0.16300000000000001</v>
      </c>
      <c r="BM43" s="40">
        <v>0.16414000000000001</v>
      </c>
      <c r="BN43" s="40">
        <v>0.16489999999999999</v>
      </c>
      <c r="BO43" s="40">
        <v>0.1633</v>
      </c>
      <c r="BP43" s="40">
        <v>0.16800000000000001</v>
      </c>
      <c r="BQ43" s="40">
        <v>0.1678</v>
      </c>
      <c r="BR43" s="40">
        <v>0.17050000000000001</v>
      </c>
      <c r="BS43" s="40">
        <v>0.17082</v>
      </c>
      <c r="BT43" s="40">
        <v>0.17083999999999999</v>
      </c>
      <c r="BU43" s="40">
        <v>0.17599999999999999</v>
      </c>
      <c r="BV43" s="40">
        <v>0.1769</v>
      </c>
      <c r="BW43" s="40">
        <v>0.17085</v>
      </c>
      <c r="BX43" s="40">
        <v>0.1757</v>
      </c>
      <c r="BY43" s="40">
        <v>0.1782</v>
      </c>
      <c r="BZ43" s="40">
        <v>0.18110000000000001</v>
      </c>
      <c r="CA43" s="40">
        <v>0.18107999999999999</v>
      </c>
      <c r="CB43" s="40">
        <v>0.18079999999999999</v>
      </c>
      <c r="CC43" s="40">
        <v>0.18092</v>
      </c>
      <c r="CD43" s="40">
        <v>0.18089</v>
      </c>
      <c r="CE43" s="40">
        <v>0.18106</v>
      </c>
      <c r="CF43" s="40">
        <v>0.18138000000000001</v>
      </c>
      <c r="CG43" s="40">
        <v>0.18079999999999999</v>
      </c>
      <c r="CH43" s="40">
        <v>0.18093000000000001</v>
      </c>
      <c r="CI43" s="40">
        <v>0.18106</v>
      </c>
      <c r="CJ43" s="40">
        <v>0.19087000000000001</v>
      </c>
      <c r="CK43" s="40">
        <v>0.19072</v>
      </c>
      <c r="CL43" s="40">
        <v>0.19117000000000001</v>
      </c>
      <c r="CM43" s="40">
        <v>0.18909000000000001</v>
      </c>
      <c r="CN43" s="40">
        <v>0.18809999999999999</v>
      </c>
      <c r="CO43" s="40">
        <v>0.18831000000000001</v>
      </c>
      <c r="CP43" s="40">
        <v>0.18704999999999999</v>
      </c>
      <c r="CQ43" s="40">
        <v>0.18847</v>
      </c>
      <c r="CR43" s="40">
        <v>0.18679999999999999</v>
      </c>
      <c r="CS43" s="40">
        <v>0.19137000000000001</v>
      </c>
      <c r="CT43" s="40">
        <v>0.1915</v>
      </c>
      <c r="CU43" s="40">
        <v>0.19142000000000001</v>
      </c>
      <c r="CV43" s="40">
        <v>0.19128000000000001</v>
      </c>
      <c r="CW43" s="40">
        <v>0.19131999999999999</v>
      </c>
      <c r="CX43" s="40">
        <v>0.19142999999999999</v>
      </c>
      <c r="CY43" s="40">
        <v>0.191</v>
      </c>
      <c r="CZ43" s="40">
        <v>0.188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54"/>
  <sheetViews>
    <sheetView topLeftCell="E1" workbookViewId="0">
      <selection activeCell="N15" sqref="N15"/>
    </sheetView>
  </sheetViews>
  <sheetFormatPr baseColWidth="10" defaultRowHeight="16"/>
  <sheetData>
    <row r="2" spans="1:12" s="1" customFormat="1">
      <c r="A2" s="1" t="s">
        <v>447</v>
      </c>
      <c r="D2" s="1" t="s">
        <v>327</v>
      </c>
      <c r="J2" s="1" t="s">
        <v>329</v>
      </c>
    </row>
    <row r="3" spans="1:12">
      <c r="C3" s="1" t="s">
        <v>124</v>
      </c>
      <c r="D3" s="1" t="s">
        <v>187</v>
      </c>
      <c r="E3" s="1" t="s">
        <v>188</v>
      </c>
      <c r="F3" s="1" t="s">
        <v>328</v>
      </c>
      <c r="G3" s="1" t="s">
        <v>104</v>
      </c>
      <c r="H3" s="1" t="s">
        <v>124</v>
      </c>
      <c r="I3" s="1" t="s">
        <v>187</v>
      </c>
      <c r="J3" s="1" t="s">
        <v>188</v>
      </c>
      <c r="K3" s="1" t="s">
        <v>330</v>
      </c>
      <c r="L3" s="1" t="s">
        <v>104</v>
      </c>
    </row>
    <row r="4" spans="1:12">
      <c r="B4" s="55" t="s">
        <v>105</v>
      </c>
      <c r="C4">
        <v>0.33326539999999999</v>
      </c>
      <c r="D4">
        <v>0.32456465400000001</v>
      </c>
      <c r="E4">
        <v>0.299589465</v>
      </c>
      <c r="F4">
        <v>0.31913983966666665</v>
      </c>
      <c r="G4">
        <v>1.7481092856123447E-2</v>
      </c>
      <c r="H4" s="54">
        <v>0.28484510000000002</v>
      </c>
      <c r="I4" s="54">
        <v>0.33121654890000002</v>
      </c>
      <c r="J4" s="54">
        <v>0.326546487</v>
      </c>
      <c r="K4" s="54">
        <v>0.31420271196666666</v>
      </c>
      <c r="L4" s="54">
        <v>2.5531439536902047E-2</v>
      </c>
    </row>
    <row r="5" spans="1:12">
      <c r="B5" s="55" t="s">
        <v>42</v>
      </c>
      <c r="C5">
        <v>0.79898650000000004</v>
      </c>
      <c r="D5">
        <v>0.8024565454</v>
      </c>
      <c r="E5">
        <v>0.75456422999999995</v>
      </c>
      <c r="F5">
        <v>0.78533575846666659</v>
      </c>
      <c r="G5">
        <v>2.6705346410422676E-2</v>
      </c>
      <c r="H5" s="54">
        <v>0.88945641561</v>
      </c>
      <c r="I5" s="54">
        <v>0.89958561432100004</v>
      </c>
      <c r="J5" s="54">
        <v>0.85215484559999999</v>
      </c>
      <c r="K5" s="54">
        <v>0.88039895851033334</v>
      </c>
      <c r="L5" s="54">
        <v>2.497894317621295E-2</v>
      </c>
    </row>
    <row r="6" spans="1:12">
      <c r="B6" s="55" t="s">
        <v>106</v>
      </c>
      <c r="C6">
        <v>1.3656946000000001</v>
      </c>
      <c r="D6">
        <v>1.6656548</v>
      </c>
      <c r="E6">
        <v>1.54123143244</v>
      </c>
      <c r="F6">
        <v>1.5241936108133334</v>
      </c>
      <c r="G6">
        <v>0.15070416689775556</v>
      </c>
      <c r="H6" s="54">
        <v>1.1546465432099999</v>
      </c>
      <c r="I6" s="54">
        <v>1.2564684500000001</v>
      </c>
      <c r="J6" s="54">
        <v>1.1956456120000001</v>
      </c>
      <c r="K6" s="54">
        <v>1.2022535350699999</v>
      </c>
      <c r="L6" s="54">
        <v>5.1231568988877818E-2</v>
      </c>
    </row>
    <row r="7" spans="1:12">
      <c r="B7" s="55" t="s">
        <v>107</v>
      </c>
      <c r="C7">
        <v>0.3024654651</v>
      </c>
      <c r="D7">
        <v>0.28979876539999999</v>
      </c>
      <c r="E7">
        <v>0.298598745</v>
      </c>
      <c r="F7">
        <v>0.29695432516666664</v>
      </c>
      <c r="G7">
        <v>6.4914873306269414E-3</v>
      </c>
      <c r="H7" s="54">
        <v>0.26556484499999999</v>
      </c>
      <c r="I7" s="54">
        <v>0.29456420999999999</v>
      </c>
      <c r="J7" s="54">
        <v>0.29551152000000003</v>
      </c>
      <c r="K7" s="54">
        <v>0.28521352500000002</v>
      </c>
      <c r="L7" s="54">
        <v>1.7022846952429119E-2</v>
      </c>
    </row>
    <row r="8" spans="1:12">
      <c r="B8" s="55" t="s">
        <v>108</v>
      </c>
      <c r="C8">
        <v>0.32214654599999998</v>
      </c>
      <c r="D8">
        <v>0.28546450000000001</v>
      </c>
      <c r="E8">
        <v>0.26564850000000001</v>
      </c>
      <c r="F8">
        <v>0.2910865153333333</v>
      </c>
      <c r="G8">
        <v>2.8665529696147326E-2</v>
      </c>
      <c r="H8" s="54">
        <v>0.25998653999999999</v>
      </c>
      <c r="I8" s="54">
        <v>0.26564598699999997</v>
      </c>
      <c r="J8" s="54">
        <v>0.321544987</v>
      </c>
      <c r="K8" s="54">
        <v>0.28239250466666665</v>
      </c>
      <c r="L8" s="54">
        <v>3.4024917189214986E-2</v>
      </c>
    </row>
    <row r="9" spans="1:12">
      <c r="B9" s="55" t="s">
        <v>109</v>
      </c>
      <c r="C9">
        <v>0.81546540000000001</v>
      </c>
      <c r="D9">
        <v>0.82154654199999999</v>
      </c>
      <c r="E9">
        <v>0.78989546099999997</v>
      </c>
      <c r="F9">
        <v>0.80896913433333328</v>
      </c>
      <c r="G9">
        <v>1.6795798070531658E-2</v>
      </c>
      <c r="H9" s="54">
        <v>0.78456452099999996</v>
      </c>
      <c r="I9" s="54">
        <v>0.81345654300000003</v>
      </c>
      <c r="J9" s="54">
        <v>0.86565641999999998</v>
      </c>
      <c r="K9" s="54">
        <v>0.8212258280000001</v>
      </c>
      <c r="L9" s="54">
        <v>4.1100430203526696E-2</v>
      </c>
    </row>
    <row r="10" spans="1:12">
      <c r="B10" s="55" t="s">
        <v>110</v>
      </c>
      <c r="C10">
        <v>0.85655232000000003</v>
      </c>
      <c r="D10">
        <v>0.79898544000000005</v>
      </c>
      <c r="E10">
        <v>0.77845120000000001</v>
      </c>
      <c r="F10">
        <v>0.8113296533333334</v>
      </c>
      <c r="G10">
        <v>4.0487417038232186E-2</v>
      </c>
      <c r="H10" s="54">
        <v>0.79856452300000003</v>
      </c>
      <c r="I10" s="54">
        <v>0.85512310999999996</v>
      </c>
      <c r="J10" s="54">
        <v>0.84532110000000005</v>
      </c>
      <c r="K10" s="54">
        <v>0.83300291100000001</v>
      </c>
      <c r="L10" s="54">
        <v>3.0224522759490047E-2</v>
      </c>
    </row>
    <row r="33" spans="1:10">
      <c r="A33" s="1" t="s">
        <v>331</v>
      </c>
    </row>
    <row r="34" spans="1:10">
      <c r="A34" s="1" t="s">
        <v>332</v>
      </c>
      <c r="G34" s="55" t="s">
        <v>338</v>
      </c>
    </row>
    <row r="35" spans="1:10">
      <c r="B35" s="56" t="s">
        <v>336</v>
      </c>
      <c r="C35" t="s">
        <v>337</v>
      </c>
      <c r="F35" s="55" t="s">
        <v>341</v>
      </c>
      <c r="G35" s="55" t="s">
        <v>342</v>
      </c>
      <c r="H35" s="55" t="s">
        <v>343</v>
      </c>
      <c r="I35" s="55" t="s">
        <v>339</v>
      </c>
      <c r="J35" s="55" t="s">
        <v>340</v>
      </c>
    </row>
    <row r="36" spans="1:10">
      <c r="A36" s="55" t="s">
        <v>142</v>
      </c>
      <c r="B36">
        <v>1.8340000000000001</v>
      </c>
      <c r="C36">
        <f>50/B36</f>
        <v>27.262813522355508</v>
      </c>
      <c r="E36" t="s">
        <v>142</v>
      </c>
      <c r="F36">
        <v>5463</v>
      </c>
      <c r="G36">
        <v>5637</v>
      </c>
      <c r="H36">
        <v>5817</v>
      </c>
      <c r="I36">
        <v>5639</v>
      </c>
      <c r="J36">
        <v>3.3967632936155079</v>
      </c>
    </row>
    <row r="37" spans="1:10">
      <c r="A37" s="55" t="s">
        <v>143</v>
      </c>
      <c r="B37">
        <v>1.9874700000000001</v>
      </c>
      <c r="C37">
        <f t="shared" ref="C37:C47" si="0">50/B37</f>
        <v>25.157612441948807</v>
      </c>
      <c r="E37" t="s">
        <v>143</v>
      </c>
      <c r="F37">
        <v>6123</v>
      </c>
      <c r="G37">
        <v>5983</v>
      </c>
      <c r="H37">
        <v>6182</v>
      </c>
      <c r="I37">
        <v>6096</v>
      </c>
      <c r="J37">
        <v>3.8031300017784102</v>
      </c>
    </row>
    <row r="38" spans="1:10">
      <c r="A38" s="55" t="s">
        <v>144</v>
      </c>
      <c r="B38">
        <v>2.1846999999999999</v>
      </c>
      <c r="C38">
        <f t="shared" si="0"/>
        <v>22.886437497139198</v>
      </c>
      <c r="E38" t="s">
        <v>144</v>
      </c>
      <c r="F38">
        <v>6213</v>
      </c>
      <c r="G38">
        <v>5899</v>
      </c>
      <c r="H38">
        <v>6129</v>
      </c>
      <c r="I38">
        <v>6080.333333333333</v>
      </c>
      <c r="J38">
        <v>3.7891991226510169</v>
      </c>
    </row>
    <row r="39" spans="1:10">
      <c r="A39" s="55" t="s">
        <v>137</v>
      </c>
      <c r="B39">
        <v>1.3949</v>
      </c>
      <c r="C39">
        <f t="shared" si="0"/>
        <v>35.84486343107033</v>
      </c>
      <c r="E39" t="s">
        <v>137</v>
      </c>
      <c r="F39">
        <v>8934</v>
      </c>
      <c r="G39">
        <v>9123</v>
      </c>
      <c r="H39">
        <v>9003</v>
      </c>
      <c r="I39">
        <v>9020</v>
      </c>
      <c r="J39">
        <v>8.0461201019621793</v>
      </c>
    </row>
    <row r="40" spans="1:10">
      <c r="A40" s="55" t="s">
        <v>138</v>
      </c>
      <c r="B40">
        <v>2.4958999999999998</v>
      </c>
      <c r="C40">
        <f t="shared" si="0"/>
        <v>20.032853880363799</v>
      </c>
      <c r="E40" t="s">
        <v>138</v>
      </c>
      <c r="F40">
        <v>8465</v>
      </c>
      <c r="G40">
        <v>8124</v>
      </c>
      <c r="H40">
        <v>8342</v>
      </c>
      <c r="I40">
        <v>8310.3333333333339</v>
      </c>
      <c r="J40">
        <v>7.343746912482465</v>
      </c>
    </row>
    <row r="41" spans="1:10">
      <c r="A41" s="55" t="s">
        <v>139</v>
      </c>
      <c r="B41">
        <v>2.2234500000000001</v>
      </c>
      <c r="C41">
        <f t="shared" si="0"/>
        <v>22.487575614473002</v>
      </c>
      <c r="E41" t="s">
        <v>139</v>
      </c>
      <c r="F41">
        <v>8664</v>
      </c>
      <c r="G41">
        <v>8512</v>
      </c>
      <c r="H41">
        <v>7917</v>
      </c>
      <c r="I41">
        <v>8364.3333333333339</v>
      </c>
      <c r="J41">
        <v>7.3487857411030104</v>
      </c>
    </row>
    <row r="42" spans="1:10">
      <c r="A42" s="55" t="s">
        <v>148</v>
      </c>
      <c r="B42">
        <v>1.1939033999999999</v>
      </c>
      <c r="C42">
        <f t="shared" si="0"/>
        <v>41.879435136879586</v>
      </c>
      <c r="E42" t="s">
        <v>148</v>
      </c>
      <c r="F42">
        <v>4152</v>
      </c>
      <c r="G42">
        <v>3223</v>
      </c>
      <c r="H42">
        <v>3992</v>
      </c>
      <c r="I42">
        <v>3789</v>
      </c>
      <c r="J42">
        <v>3.2616041259114352</v>
      </c>
    </row>
    <row r="43" spans="1:10">
      <c r="A43" s="55" t="s">
        <v>149</v>
      </c>
      <c r="B43">
        <v>1.2848999999999999</v>
      </c>
      <c r="C43">
        <f t="shared" si="0"/>
        <v>38.913534127169434</v>
      </c>
      <c r="E43" t="s">
        <v>149</v>
      </c>
      <c r="F43">
        <v>3425</v>
      </c>
      <c r="G43">
        <v>3128</v>
      </c>
      <c r="H43">
        <v>3028</v>
      </c>
      <c r="I43">
        <v>3193.6666666666665</v>
      </c>
      <c r="J43">
        <v>2.7712569407394234</v>
      </c>
    </row>
    <row r="44" spans="1:10">
      <c r="A44" s="55" t="s">
        <v>150</v>
      </c>
      <c r="B44">
        <v>2.3948999999999998</v>
      </c>
      <c r="C44">
        <f t="shared" si="0"/>
        <v>20.877698442523698</v>
      </c>
      <c r="E44" t="s">
        <v>150</v>
      </c>
      <c r="F44">
        <v>5291</v>
      </c>
      <c r="G44">
        <v>5034</v>
      </c>
      <c r="H44">
        <v>5164</v>
      </c>
      <c r="I44">
        <v>5163</v>
      </c>
      <c r="J44">
        <v>4.5530262611891636</v>
      </c>
    </row>
    <row r="45" spans="1:10">
      <c r="A45" s="55" t="s">
        <v>333</v>
      </c>
      <c r="B45">
        <v>2.2294</v>
      </c>
      <c r="C45">
        <f t="shared" si="0"/>
        <v>22.427558984480129</v>
      </c>
      <c r="E45" t="s">
        <v>333</v>
      </c>
      <c r="F45">
        <v>7839</v>
      </c>
      <c r="G45">
        <v>7789</v>
      </c>
      <c r="H45">
        <v>8192</v>
      </c>
      <c r="I45">
        <v>7940</v>
      </c>
      <c r="J45">
        <v>7.0902246724761406</v>
      </c>
    </row>
    <row r="46" spans="1:10">
      <c r="A46" s="55" t="s">
        <v>334</v>
      </c>
      <c r="B46">
        <v>1.09484</v>
      </c>
      <c r="C46">
        <f t="shared" si="0"/>
        <v>45.668773519418359</v>
      </c>
      <c r="E46" t="s">
        <v>334</v>
      </c>
      <c r="F46">
        <v>7738</v>
      </c>
      <c r="G46">
        <v>7634</v>
      </c>
      <c r="H46">
        <v>7187</v>
      </c>
      <c r="I46">
        <v>7519.666666666667</v>
      </c>
      <c r="J46">
        <v>6.6218112118876844</v>
      </c>
    </row>
    <row r="47" spans="1:10">
      <c r="A47" s="55" t="s">
        <v>335</v>
      </c>
      <c r="B47">
        <v>2.102093</v>
      </c>
      <c r="C47">
        <f t="shared" si="0"/>
        <v>23.785817278303099</v>
      </c>
      <c r="E47" t="s">
        <v>335</v>
      </c>
      <c r="F47">
        <v>8152</v>
      </c>
      <c r="G47">
        <v>8098</v>
      </c>
      <c r="H47">
        <v>8113</v>
      </c>
      <c r="I47">
        <v>8121</v>
      </c>
      <c r="J47">
        <v>7.2120457644199432</v>
      </c>
    </row>
    <row r="50" spans="2:4">
      <c r="C50" t="s">
        <v>329</v>
      </c>
      <c r="D50" t="s">
        <v>344</v>
      </c>
    </row>
    <row r="51" spans="2:4">
      <c r="B51" s="1" t="s">
        <v>157</v>
      </c>
      <c r="C51">
        <v>3.6630308060149783</v>
      </c>
      <c r="D51">
        <v>0.23069960656201199</v>
      </c>
    </row>
    <row r="52" spans="2:4">
      <c r="B52" s="1" t="s">
        <v>158</v>
      </c>
      <c r="C52">
        <v>7.5795509185158849</v>
      </c>
      <c r="D52">
        <v>0.40406861998276139</v>
      </c>
    </row>
    <row r="53" spans="2:4">
      <c r="B53" s="1" t="s">
        <v>107</v>
      </c>
      <c r="C53">
        <v>3.5286291092800077</v>
      </c>
      <c r="D53">
        <v>0.92040873210287333</v>
      </c>
    </row>
    <row r="54" spans="2:4">
      <c r="B54" s="1" t="s">
        <v>159</v>
      </c>
      <c r="C54">
        <v>6.974693882927923</v>
      </c>
      <c r="D54">
        <v>0.31161631736955769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9"/>
  <sheetViews>
    <sheetView workbookViewId="0">
      <selection activeCell="N43" sqref="N43"/>
    </sheetView>
  </sheetViews>
  <sheetFormatPr baseColWidth="10" defaultRowHeight="16"/>
  <cols>
    <col min="1" max="1" width="27" customWidth="1"/>
  </cols>
  <sheetData>
    <row r="1" spans="1:11">
      <c r="E1" s="55" t="s">
        <v>446</v>
      </c>
    </row>
    <row r="2" spans="1:11" s="1" customFormat="1">
      <c r="B2" s="1" t="s">
        <v>351</v>
      </c>
      <c r="C2" s="1" t="s">
        <v>352</v>
      </c>
      <c r="D2" s="1" t="s">
        <v>353</v>
      </c>
      <c r="E2" s="1" t="s">
        <v>354</v>
      </c>
      <c r="F2" s="1" t="s">
        <v>355</v>
      </c>
      <c r="G2" s="1" t="s">
        <v>356</v>
      </c>
      <c r="H2" s="1" t="s">
        <v>357</v>
      </c>
      <c r="I2" s="1" t="s">
        <v>358</v>
      </c>
      <c r="J2" s="1" t="s">
        <v>359</v>
      </c>
    </row>
    <row r="3" spans="1:11">
      <c r="A3" s="1" t="s">
        <v>127</v>
      </c>
      <c r="B3">
        <v>4536</v>
      </c>
      <c r="C3">
        <v>4236</v>
      </c>
      <c r="D3">
        <v>4112</v>
      </c>
      <c r="E3">
        <v>401</v>
      </c>
      <c r="F3">
        <v>423</v>
      </c>
      <c r="G3">
        <v>504</v>
      </c>
      <c r="H3">
        <v>902</v>
      </c>
      <c r="I3">
        <v>933</v>
      </c>
      <c r="J3">
        <v>844</v>
      </c>
    </row>
    <row r="4" spans="1:11">
      <c r="A4" s="1" t="s">
        <v>345</v>
      </c>
      <c r="B4">
        <v>4325</v>
      </c>
      <c r="C4">
        <v>4632</v>
      </c>
      <c r="D4">
        <v>4158</v>
      </c>
      <c r="E4">
        <v>896</v>
      </c>
      <c r="F4">
        <v>901</v>
      </c>
      <c r="G4">
        <v>963</v>
      </c>
      <c r="H4">
        <v>1452</v>
      </c>
      <c r="I4">
        <v>1365</v>
      </c>
      <c r="J4">
        <v>1256</v>
      </c>
    </row>
    <row r="5" spans="1:11">
      <c r="A5" s="1" t="s">
        <v>346</v>
      </c>
      <c r="B5">
        <v>4563</v>
      </c>
      <c r="C5">
        <v>4521</v>
      </c>
      <c r="D5">
        <v>4158</v>
      </c>
      <c r="E5">
        <v>796</v>
      </c>
      <c r="F5">
        <v>863</v>
      </c>
      <c r="G5">
        <v>853</v>
      </c>
      <c r="H5">
        <v>1399</v>
      </c>
      <c r="I5">
        <v>1256</v>
      </c>
      <c r="J5">
        <v>1233</v>
      </c>
    </row>
    <row r="6" spans="1:11">
      <c r="A6" s="1" t="s">
        <v>347</v>
      </c>
      <c r="B6">
        <v>4425</v>
      </c>
      <c r="C6">
        <v>4368</v>
      </c>
      <c r="D6">
        <v>4236</v>
      </c>
      <c r="E6">
        <v>201</v>
      </c>
      <c r="F6">
        <v>236</v>
      </c>
      <c r="G6">
        <v>223</v>
      </c>
      <c r="H6">
        <v>452</v>
      </c>
      <c r="I6">
        <v>421</v>
      </c>
      <c r="J6">
        <v>406</v>
      </c>
    </row>
    <row r="7" spans="1:11">
      <c r="A7" s="1" t="s">
        <v>348</v>
      </c>
      <c r="B7">
        <v>4233</v>
      </c>
      <c r="C7">
        <v>4269</v>
      </c>
      <c r="D7">
        <v>4367</v>
      </c>
      <c r="E7">
        <v>198</v>
      </c>
      <c r="F7">
        <v>185</v>
      </c>
      <c r="G7">
        <v>189</v>
      </c>
      <c r="H7">
        <v>412</v>
      </c>
      <c r="I7">
        <v>396</v>
      </c>
      <c r="J7">
        <v>366</v>
      </c>
    </row>
    <row r="8" spans="1:11">
      <c r="A8" s="1" t="s">
        <v>349</v>
      </c>
      <c r="B8">
        <v>4523</v>
      </c>
      <c r="C8">
        <v>4257</v>
      </c>
      <c r="D8">
        <v>4411</v>
      </c>
      <c r="E8">
        <v>169</v>
      </c>
      <c r="F8">
        <v>156</v>
      </c>
      <c r="G8">
        <v>165</v>
      </c>
      <c r="H8">
        <v>389</v>
      </c>
      <c r="I8">
        <v>301</v>
      </c>
      <c r="J8">
        <v>412</v>
      </c>
    </row>
    <row r="9" spans="1:11">
      <c r="A9" s="1"/>
    </row>
    <row r="13" spans="1:11">
      <c r="C13" s="55" t="s">
        <v>133</v>
      </c>
      <c r="F13" s="55" t="s">
        <v>134</v>
      </c>
      <c r="J13" s="55" t="s">
        <v>130</v>
      </c>
    </row>
    <row r="14" spans="1:11">
      <c r="B14" s="1" t="s">
        <v>360</v>
      </c>
      <c r="C14" t="s">
        <v>361</v>
      </c>
      <c r="D14" t="s">
        <v>362</v>
      </c>
      <c r="E14" t="s">
        <v>363</v>
      </c>
      <c r="F14" t="s">
        <v>361</v>
      </c>
      <c r="G14" t="s">
        <v>362</v>
      </c>
      <c r="H14" t="s">
        <v>363</v>
      </c>
      <c r="I14" t="s">
        <v>361</v>
      </c>
      <c r="J14" t="s">
        <v>362</v>
      </c>
      <c r="K14" t="s">
        <v>363</v>
      </c>
    </row>
    <row r="15" spans="1:11">
      <c r="A15" s="1" t="s">
        <v>127</v>
      </c>
      <c r="B15">
        <v>4294.666666666667</v>
      </c>
      <c r="C15">
        <v>1.0561937286556968</v>
      </c>
      <c r="D15">
        <v>0.98633964607264812</v>
      </c>
      <c r="E15">
        <v>0.95746662527165471</v>
      </c>
      <c r="F15">
        <v>8.8403880070546739E-2</v>
      </c>
      <c r="G15">
        <v>9.9858356940509915E-2</v>
      </c>
      <c r="H15">
        <v>0.122568093385214</v>
      </c>
      <c r="I15">
        <v>0.19885361552028219</v>
      </c>
      <c r="J15">
        <v>0.22025495750708216</v>
      </c>
      <c r="K15">
        <v>0.20525291828793774</v>
      </c>
    </row>
    <row r="16" spans="1:11">
      <c r="A16" s="1" t="s">
        <v>345</v>
      </c>
      <c r="B16">
        <v>4371.666666666667</v>
      </c>
      <c r="C16">
        <v>0.98932520015249703</v>
      </c>
      <c r="D16">
        <v>1.0595501334349979</v>
      </c>
      <c r="E16">
        <v>0.9511246664125047</v>
      </c>
      <c r="F16">
        <v>0.20716763005780348</v>
      </c>
      <c r="G16">
        <v>0.19451640759930916</v>
      </c>
      <c r="H16">
        <v>0.23160173160173161</v>
      </c>
      <c r="I16">
        <v>0.33572254335260115</v>
      </c>
      <c r="J16">
        <v>0.29468911917098445</v>
      </c>
      <c r="K16">
        <v>0.30206830206830204</v>
      </c>
    </row>
    <row r="17" spans="1:11">
      <c r="A17" s="1" t="s">
        <v>350</v>
      </c>
      <c r="B17">
        <v>4414</v>
      </c>
      <c r="C17">
        <v>1.0337562301767105</v>
      </c>
      <c r="D17">
        <v>1.024241051200725</v>
      </c>
      <c r="E17">
        <v>0.94200271862256457</v>
      </c>
      <c r="F17">
        <v>0.17444663598509752</v>
      </c>
      <c r="G17">
        <v>0.19088697190886972</v>
      </c>
      <c r="H17">
        <v>0.20514670514670516</v>
      </c>
      <c r="I17">
        <v>0.30659653736576814</v>
      </c>
      <c r="J17">
        <v>0.27781464277814644</v>
      </c>
      <c r="K17">
        <v>0.29653679653679654</v>
      </c>
    </row>
    <row r="18" spans="1:11">
      <c r="A18" s="1" t="s">
        <v>347</v>
      </c>
      <c r="B18">
        <v>4343</v>
      </c>
      <c r="C18">
        <v>1.0188809578632281</v>
      </c>
      <c r="D18">
        <v>1.0057563895924475</v>
      </c>
      <c r="E18">
        <v>0.97536265254432419</v>
      </c>
      <c r="F18">
        <v>4.5423728813559321E-2</v>
      </c>
      <c r="G18">
        <v>5.4029304029304032E-2</v>
      </c>
      <c r="H18">
        <v>5.264400377714825E-2</v>
      </c>
      <c r="I18">
        <v>0.10214689265536724</v>
      </c>
      <c r="J18">
        <v>9.6382783882783887E-2</v>
      </c>
      <c r="K18">
        <v>9.5845136921624177E-2</v>
      </c>
    </row>
    <row r="19" spans="1:11">
      <c r="A19" s="1" t="s">
        <v>348</v>
      </c>
      <c r="B19">
        <v>4289.666666666667</v>
      </c>
      <c r="C19">
        <v>0.98678996036988109</v>
      </c>
      <c r="D19">
        <v>0.99518222084078012</v>
      </c>
      <c r="E19">
        <v>1.0180278187893386</v>
      </c>
      <c r="F19">
        <v>4.6775336640680371E-2</v>
      </c>
      <c r="G19">
        <v>4.3335675802295623E-2</v>
      </c>
      <c r="H19">
        <v>4.3279138997023126E-2</v>
      </c>
      <c r="I19">
        <v>9.7330498464446025E-2</v>
      </c>
      <c r="J19">
        <v>9.2761770906535493E-2</v>
      </c>
      <c r="K19">
        <v>8.3810396152965427E-2</v>
      </c>
    </row>
    <row r="20" spans="1:11">
      <c r="A20" s="1" t="s">
        <v>349</v>
      </c>
      <c r="B20">
        <v>4397</v>
      </c>
      <c r="C20">
        <v>1.028655901751194</v>
      </c>
      <c r="D20">
        <v>0.96816010916534001</v>
      </c>
      <c r="E20">
        <v>1.003183989083466</v>
      </c>
      <c r="F20">
        <v>3.7364581030289633E-2</v>
      </c>
      <c r="G20">
        <v>3.6645525017618044E-2</v>
      </c>
      <c r="H20">
        <v>3.7406483790523692E-2</v>
      </c>
      <c r="I20">
        <v>8.6004864028299807E-2</v>
      </c>
      <c r="J20">
        <v>7.0707070707070704E-2</v>
      </c>
      <c r="K20">
        <v>9.3402856495125822E-2</v>
      </c>
    </row>
    <row r="23" spans="1:11">
      <c r="B23" s="55" t="s">
        <v>364</v>
      </c>
      <c r="C23" s="55" t="s">
        <v>365</v>
      </c>
      <c r="D23" s="55" t="s">
        <v>134</v>
      </c>
      <c r="E23" s="55" t="s">
        <v>366</v>
      </c>
      <c r="F23" s="55" t="s">
        <v>130</v>
      </c>
      <c r="G23" s="55" t="s">
        <v>367</v>
      </c>
      <c r="H23" s="55"/>
    </row>
    <row r="24" spans="1:11">
      <c r="A24" s="1" t="s">
        <v>127</v>
      </c>
      <c r="B24">
        <v>0.99999999999999989</v>
      </c>
      <c r="C24">
        <v>5.0761345408846491E-2</v>
      </c>
      <c r="D24">
        <v>0.10361011013209022</v>
      </c>
      <c r="E24">
        <v>1.7388361247122182E-2</v>
      </c>
      <c r="F24">
        <v>0.20812049710510072</v>
      </c>
      <c r="G24">
        <v>1.098506330948862E-2</v>
      </c>
    </row>
    <row r="25" spans="1:11">
      <c r="A25" s="1" t="s">
        <v>345</v>
      </c>
      <c r="B25">
        <v>1</v>
      </c>
      <c r="C25">
        <v>5.4995308787201359E-2</v>
      </c>
      <c r="D25">
        <v>0.21109525641961477</v>
      </c>
      <c r="E25">
        <v>1.8852055609923785E-2</v>
      </c>
      <c r="F25">
        <v>0.31082665486396255</v>
      </c>
      <c r="G25">
        <v>2.1873889292648951E-2</v>
      </c>
    </row>
    <row r="26" spans="1:11">
      <c r="A26" s="1" t="s">
        <v>368</v>
      </c>
      <c r="B26">
        <v>1</v>
      </c>
      <c r="C26">
        <v>5.0451938943080504E-2</v>
      </c>
      <c r="D26">
        <v>0.19016010434689079</v>
      </c>
      <c r="E26">
        <v>1.5362936372040534E-2</v>
      </c>
      <c r="F26">
        <v>0.29364932556023704</v>
      </c>
      <c r="G26">
        <v>1.4606590310322153E-2</v>
      </c>
    </row>
    <row r="27" spans="1:11">
      <c r="A27" s="1" t="s">
        <v>347</v>
      </c>
      <c r="B27">
        <v>1</v>
      </c>
      <c r="C27">
        <v>2.2322919618911044E-2</v>
      </c>
      <c r="D27">
        <v>5.0699012206670536E-2</v>
      </c>
      <c r="E27">
        <v>4.6207386157823228E-3</v>
      </c>
      <c r="F27">
        <v>9.8124937819925095E-2</v>
      </c>
      <c r="G27">
        <v>3.4934734273303625E-3</v>
      </c>
    </row>
    <row r="28" spans="1:11">
      <c r="A28" s="1" t="s">
        <v>348</v>
      </c>
      <c r="B28">
        <v>1</v>
      </c>
      <c r="C28">
        <v>1.61666074573108E-2</v>
      </c>
      <c r="D28">
        <v>4.4463383813333035E-2</v>
      </c>
      <c r="E28">
        <v>2.0024094260408117E-3</v>
      </c>
      <c r="F28">
        <v>9.1300888507982306E-2</v>
      </c>
      <c r="G28">
        <v>6.8774213674187229E-3</v>
      </c>
    </row>
    <row r="29" spans="1:11">
      <c r="A29" s="1" t="s">
        <v>349</v>
      </c>
      <c r="B29">
        <v>1</v>
      </c>
      <c r="C29">
        <v>3.0373320036018295E-2</v>
      </c>
      <c r="D29">
        <v>3.7138863279477123E-2</v>
      </c>
      <c r="E29">
        <v>4.2775687111887653E-4</v>
      </c>
      <c r="F29">
        <v>8.3371597076832116E-2</v>
      </c>
      <c r="G29">
        <v>1.1574767568404518E-2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6"/>
  <sheetViews>
    <sheetView workbookViewId="0">
      <selection activeCell="J43" sqref="J43"/>
    </sheetView>
  </sheetViews>
  <sheetFormatPr baseColWidth="10" defaultColWidth="8.83203125" defaultRowHeight="16"/>
  <cols>
    <col min="3" max="3" width="27.6640625" customWidth="1"/>
  </cols>
  <sheetData>
    <row r="1" spans="1:9">
      <c r="A1" t="s">
        <v>76</v>
      </c>
      <c r="E1" t="s">
        <v>77</v>
      </c>
      <c r="H1" t="s">
        <v>78</v>
      </c>
    </row>
    <row r="2" spans="1:9">
      <c r="A2" t="s">
        <v>79</v>
      </c>
      <c r="D2">
        <v>1</v>
      </c>
      <c r="E2">
        <v>2</v>
      </c>
      <c r="F2">
        <v>3</v>
      </c>
      <c r="G2">
        <v>1</v>
      </c>
      <c r="H2">
        <v>2</v>
      </c>
      <c r="I2">
        <v>3</v>
      </c>
    </row>
    <row r="3" spans="1:9" ht="17" thickBot="1">
      <c r="A3" t="s">
        <v>80</v>
      </c>
      <c r="C3" s="11" t="s">
        <v>81</v>
      </c>
      <c r="D3">
        <v>0.48499999999999999</v>
      </c>
      <c r="E3">
        <v>0.47799999999999998</v>
      </c>
      <c r="F3">
        <v>0.33500000000000002</v>
      </c>
      <c r="G3">
        <v>0.44500000000000001</v>
      </c>
      <c r="H3">
        <v>0.42899999999999999</v>
      </c>
      <c r="I3">
        <v>0.34449999999999997</v>
      </c>
    </row>
    <row r="4" spans="1:9" ht="17" thickTop="1">
      <c r="C4" s="11" t="s">
        <v>42</v>
      </c>
      <c r="D4" s="12">
        <v>0.48599999999999999</v>
      </c>
      <c r="E4" s="13">
        <v>0.51200000000000001</v>
      </c>
      <c r="F4" s="13">
        <v>0.4456</v>
      </c>
      <c r="G4" s="14">
        <v>0.36980000000000002</v>
      </c>
      <c r="H4" s="15">
        <v>0.45889999999999997</v>
      </c>
      <c r="I4" s="16">
        <v>0.47521999999999998</v>
      </c>
    </row>
    <row r="5" spans="1:9">
      <c r="C5" s="11" t="s">
        <v>73</v>
      </c>
      <c r="D5" s="17">
        <v>0.46560000000000001</v>
      </c>
      <c r="E5" s="18">
        <v>0.52144999999999997</v>
      </c>
      <c r="F5" s="18">
        <v>0.49859999999999999</v>
      </c>
      <c r="G5" s="19">
        <v>0.51239999999999997</v>
      </c>
      <c r="H5" s="20">
        <v>0.51219999999999999</v>
      </c>
      <c r="I5" s="21">
        <v>0.53654999999999997</v>
      </c>
    </row>
    <row r="6" spans="1:9">
      <c r="C6" s="11" t="s">
        <v>82</v>
      </c>
      <c r="D6" s="17">
        <v>0.56240000000000001</v>
      </c>
      <c r="E6" s="18">
        <v>0.52459999999999996</v>
      </c>
      <c r="F6" s="18">
        <v>0.56640000000000001</v>
      </c>
      <c r="G6" s="19">
        <v>1.9656499999999999</v>
      </c>
      <c r="H6" s="20">
        <v>1.998656</v>
      </c>
      <c r="I6" s="21">
        <v>1.855445</v>
      </c>
    </row>
    <row r="7" spans="1:9">
      <c r="C7" s="11" t="s">
        <v>83</v>
      </c>
      <c r="D7" s="17">
        <v>0.45695999999999998</v>
      </c>
      <c r="E7" s="18">
        <v>0.54256000000000004</v>
      </c>
      <c r="F7" s="18">
        <v>0.49666500000000002</v>
      </c>
      <c r="G7" s="19">
        <v>0.52456000000000003</v>
      </c>
      <c r="H7" s="20">
        <v>0.55698000000000003</v>
      </c>
      <c r="I7" s="21">
        <v>0.54789600000000005</v>
      </c>
    </row>
    <row r="8" spans="1:9" ht="17" thickBot="1">
      <c r="C8" s="11" t="s">
        <v>84</v>
      </c>
      <c r="D8" s="22">
        <v>0.52690000000000003</v>
      </c>
      <c r="E8" s="23">
        <v>0.62439999999999996</v>
      </c>
      <c r="F8" s="23">
        <v>0.4965</v>
      </c>
      <c r="G8" s="24">
        <v>1.9253</v>
      </c>
      <c r="H8" s="25">
        <v>1.9247000000000001</v>
      </c>
      <c r="I8" s="26">
        <v>1.8935999999999999</v>
      </c>
    </row>
    <row r="9" spans="1:9" ht="17" thickTop="1">
      <c r="C9" s="11"/>
    </row>
    <row r="10" spans="1:9">
      <c r="C10" s="11" t="s">
        <v>85</v>
      </c>
      <c r="D10" s="18">
        <v>0.51239999999999997</v>
      </c>
      <c r="E10" s="18">
        <v>0.488566</v>
      </c>
      <c r="F10" s="18">
        <v>0.4758</v>
      </c>
      <c r="G10" s="20">
        <v>0.45874999999999999</v>
      </c>
      <c r="H10" s="20">
        <v>0.452212</v>
      </c>
      <c r="I10" s="20">
        <v>0.41256999999999999</v>
      </c>
    </row>
    <row r="11" spans="1:9">
      <c r="C11" s="11" t="s">
        <v>86</v>
      </c>
      <c r="D11" s="12">
        <v>0.52459999999999996</v>
      </c>
      <c r="E11" s="13">
        <v>0.49664999999999998</v>
      </c>
      <c r="F11" s="27">
        <v>0.51478000000000002</v>
      </c>
      <c r="G11" s="28">
        <v>0.52366000000000001</v>
      </c>
      <c r="H11" s="29">
        <v>0.53665549999999995</v>
      </c>
      <c r="I11" s="30">
        <v>0.48996000000000001</v>
      </c>
    </row>
    <row r="12" spans="1:9">
      <c r="C12" s="11" t="s">
        <v>72</v>
      </c>
      <c r="D12" s="17">
        <v>0.55655399999999999</v>
      </c>
      <c r="E12" s="18">
        <v>0.51247779999999998</v>
      </c>
      <c r="F12" s="31">
        <v>0.52699879999999999</v>
      </c>
      <c r="G12" s="32">
        <v>0.52545399999999998</v>
      </c>
      <c r="H12" s="20">
        <v>0.55666300000000002</v>
      </c>
      <c r="I12" s="33">
        <v>0.54265565000000004</v>
      </c>
    </row>
    <row r="13" spans="1:9">
      <c r="C13" s="11" t="s">
        <v>87</v>
      </c>
      <c r="D13" s="17">
        <v>0.53259999999999996</v>
      </c>
      <c r="E13" s="18">
        <v>0.62139999999999995</v>
      </c>
      <c r="F13" s="31">
        <v>0.58989999999999998</v>
      </c>
      <c r="G13" s="32">
        <v>1.5268900000000001</v>
      </c>
      <c r="H13" s="20">
        <v>2.1247500000000001</v>
      </c>
      <c r="I13" s="33">
        <v>2.1147800000000001</v>
      </c>
    </row>
    <row r="14" spans="1:9">
      <c r="C14" s="11" t="s">
        <v>88</v>
      </c>
      <c r="D14" s="17">
        <v>2.5669599999999999</v>
      </c>
      <c r="E14" s="18">
        <v>2.2126546540000001</v>
      </c>
      <c r="F14" s="31">
        <v>2.8866900000000002</v>
      </c>
      <c r="G14" s="32">
        <v>2.2236539999999998</v>
      </c>
      <c r="H14" s="20">
        <v>1.9985599999999999</v>
      </c>
      <c r="I14" s="33">
        <v>2.1254</v>
      </c>
    </row>
    <row r="15" spans="1:9">
      <c r="C15" s="11" t="s">
        <v>89</v>
      </c>
      <c r="D15" s="22">
        <v>2.9986799999999998</v>
      </c>
      <c r="E15" s="23">
        <v>2.2578900000000002</v>
      </c>
      <c r="F15" s="34">
        <v>2.5632799999999998</v>
      </c>
      <c r="G15" s="35">
        <v>3.9512</v>
      </c>
      <c r="H15" s="36">
        <v>4.1243999999999996</v>
      </c>
      <c r="I15" s="37">
        <v>3.9855</v>
      </c>
    </row>
    <row r="16" spans="1:9">
      <c r="C16" s="11" t="s">
        <v>90</v>
      </c>
      <c r="D16" s="18">
        <v>1.3525</v>
      </c>
      <c r="E16" s="18">
        <v>1.3255999999999999</v>
      </c>
      <c r="F16" s="18">
        <v>1.4423299999999999</v>
      </c>
      <c r="G16" s="20">
        <v>1.2546999999999999</v>
      </c>
      <c r="H16" s="20">
        <v>1.1245000000000001</v>
      </c>
      <c r="I16" s="20">
        <v>1.1369</v>
      </c>
    </row>
    <row r="17" spans="3:9">
      <c r="C17" s="11"/>
      <c r="D17" s="18"/>
      <c r="E17" s="18"/>
      <c r="F17" s="18"/>
      <c r="G17" s="20"/>
      <c r="H17" s="20"/>
      <c r="I17" s="20"/>
    </row>
    <row r="19" spans="3:9">
      <c r="C19" s="11" t="s">
        <v>91</v>
      </c>
      <c r="D19">
        <f>AVERAGE(D3:F3)</f>
        <v>0.4326666666666667</v>
      </c>
      <c r="G19">
        <f>AVERAGE(G3:I3)</f>
        <v>0.40616666666666662</v>
      </c>
    </row>
    <row r="20" spans="3:9">
      <c r="C20" s="11" t="s">
        <v>42</v>
      </c>
      <c r="D20">
        <f>D4-0.432667</f>
        <v>5.3332999999999964E-2</v>
      </c>
      <c r="E20">
        <f t="shared" ref="E20:F24" si="0">E4-0.432667</f>
        <v>7.9332999999999987E-2</v>
      </c>
      <c r="F20">
        <f t="shared" si="0"/>
        <v>1.2932999999999972E-2</v>
      </c>
      <c r="G20">
        <f>G4-0.406167</f>
        <v>-3.6366999999999983E-2</v>
      </c>
      <c r="H20">
        <f>H4-0.406167</f>
        <v>5.2732999999999974E-2</v>
      </c>
      <c r="I20">
        <f>I4-0.406167</f>
        <v>6.9052999999999976E-2</v>
      </c>
    </row>
    <row r="21" spans="3:9">
      <c r="C21" s="11" t="s">
        <v>73</v>
      </c>
      <c r="D21">
        <f>D5-0.432667</f>
        <v>3.293299999999999E-2</v>
      </c>
      <c r="E21">
        <f t="shared" si="0"/>
        <v>8.8782999999999945E-2</v>
      </c>
      <c r="F21">
        <f t="shared" si="0"/>
        <v>6.5932999999999964E-2</v>
      </c>
      <c r="G21">
        <f t="shared" ref="G21:I24" si="1">G5-0.406167</f>
        <v>0.10623299999999997</v>
      </c>
      <c r="H21">
        <f t="shared" si="1"/>
        <v>0.10603299999999999</v>
      </c>
      <c r="I21">
        <f t="shared" si="1"/>
        <v>0.13038299999999997</v>
      </c>
    </row>
    <row r="22" spans="3:9">
      <c r="C22" s="11" t="s">
        <v>82</v>
      </c>
      <c r="D22">
        <f>D6-0.432667</f>
        <v>0.12973299999999999</v>
      </c>
      <c r="E22">
        <f t="shared" si="0"/>
        <v>9.1932999999999931E-2</v>
      </c>
      <c r="F22">
        <f t="shared" si="0"/>
        <v>0.13373299999999999</v>
      </c>
      <c r="G22">
        <f t="shared" si="1"/>
        <v>1.559483</v>
      </c>
      <c r="H22">
        <f t="shared" si="1"/>
        <v>1.592489</v>
      </c>
      <c r="I22">
        <f t="shared" si="1"/>
        <v>1.4492780000000001</v>
      </c>
    </row>
    <row r="23" spans="3:9">
      <c r="C23" s="11" t="s">
        <v>83</v>
      </c>
      <c r="D23">
        <f>D7-0.432667</f>
        <v>2.4292999999999954E-2</v>
      </c>
      <c r="E23">
        <f t="shared" si="0"/>
        <v>0.10989300000000002</v>
      </c>
      <c r="F23">
        <f t="shared" si="0"/>
        <v>6.3997999999999999E-2</v>
      </c>
      <c r="G23">
        <f t="shared" si="1"/>
        <v>0.11839300000000003</v>
      </c>
      <c r="H23">
        <f t="shared" si="1"/>
        <v>0.15081300000000003</v>
      </c>
      <c r="I23">
        <f t="shared" si="1"/>
        <v>0.14172900000000005</v>
      </c>
    </row>
    <row r="24" spans="3:9">
      <c r="C24" s="11" t="s">
        <v>84</v>
      </c>
      <c r="D24">
        <f>D8-0.432667</f>
        <v>9.4233000000000011E-2</v>
      </c>
      <c r="E24">
        <f t="shared" si="0"/>
        <v>0.19173299999999993</v>
      </c>
      <c r="F24">
        <f t="shared" si="0"/>
        <v>6.3832999999999973E-2</v>
      </c>
      <c r="G24">
        <f t="shared" si="1"/>
        <v>1.5191330000000001</v>
      </c>
      <c r="H24">
        <f t="shared" si="1"/>
        <v>1.5185330000000001</v>
      </c>
      <c r="I24">
        <f t="shared" si="1"/>
        <v>1.487433</v>
      </c>
    </row>
    <row r="25" spans="3:9">
      <c r="C25" s="11"/>
    </row>
    <row r="26" spans="3:9">
      <c r="C26" s="11" t="s">
        <v>85</v>
      </c>
      <c r="D26">
        <f t="shared" ref="D26:F32" si="2">D10-0.432667</f>
        <v>7.9732999999999943E-2</v>
      </c>
      <c r="E26">
        <f t="shared" si="2"/>
        <v>5.5898999999999976E-2</v>
      </c>
      <c r="F26">
        <f t="shared" si="2"/>
        <v>4.3132999999999977E-2</v>
      </c>
      <c r="G26">
        <f t="shared" ref="G26:I28" si="3">G10-0.406167</f>
        <v>5.2582999999999991E-2</v>
      </c>
      <c r="H26">
        <f t="shared" si="3"/>
        <v>4.6045000000000003E-2</v>
      </c>
      <c r="I26">
        <f t="shared" si="3"/>
        <v>6.402999999999992E-3</v>
      </c>
    </row>
    <row r="27" spans="3:9">
      <c r="C27" s="11" t="s">
        <v>86</v>
      </c>
      <c r="D27">
        <f t="shared" si="2"/>
        <v>9.1932999999999931E-2</v>
      </c>
      <c r="E27">
        <f t="shared" si="2"/>
        <v>6.3982999999999957E-2</v>
      </c>
      <c r="F27">
        <f t="shared" si="2"/>
        <v>8.2112999999999992E-2</v>
      </c>
      <c r="G27">
        <f t="shared" si="3"/>
        <v>0.11749300000000001</v>
      </c>
      <c r="H27">
        <f t="shared" si="3"/>
        <v>0.13048849999999995</v>
      </c>
      <c r="I27">
        <f t="shared" si="3"/>
        <v>8.3793000000000006E-2</v>
      </c>
    </row>
    <row r="28" spans="3:9">
      <c r="C28" s="11" t="s">
        <v>72</v>
      </c>
      <c r="D28">
        <f t="shared" si="2"/>
        <v>0.12388699999999997</v>
      </c>
      <c r="E28">
        <f t="shared" si="2"/>
        <v>7.981079999999996E-2</v>
      </c>
      <c r="F28">
        <f t="shared" si="2"/>
        <v>9.4331799999999966E-2</v>
      </c>
      <c r="G28">
        <f t="shared" si="3"/>
        <v>0.11928699999999998</v>
      </c>
      <c r="H28">
        <f t="shared" si="3"/>
        <v>0.15049600000000002</v>
      </c>
      <c r="I28">
        <f t="shared" si="3"/>
        <v>0.13648865000000004</v>
      </c>
    </row>
    <row r="29" spans="3:9">
      <c r="C29" s="11" t="s">
        <v>87</v>
      </c>
      <c r="D29">
        <f t="shared" si="2"/>
        <v>9.9932999999999939E-2</v>
      </c>
      <c r="E29">
        <f t="shared" si="2"/>
        <v>0.18873299999999993</v>
      </c>
      <c r="F29">
        <f t="shared" si="2"/>
        <v>0.15723299999999996</v>
      </c>
      <c r="G29">
        <f>G13-0.406167</f>
        <v>1.1207230000000001</v>
      </c>
      <c r="H29">
        <f>H13-0.406167</f>
        <v>1.7185830000000002</v>
      </c>
      <c r="I29">
        <f>I13-0.406167</f>
        <v>1.7086130000000002</v>
      </c>
    </row>
    <row r="30" spans="3:9">
      <c r="C30" s="11" t="s">
        <v>88</v>
      </c>
      <c r="D30">
        <f t="shared" si="2"/>
        <v>2.134293</v>
      </c>
      <c r="E30">
        <f t="shared" si="2"/>
        <v>1.7799876540000001</v>
      </c>
      <c r="F30">
        <f t="shared" si="2"/>
        <v>2.4540230000000003</v>
      </c>
      <c r="G30">
        <f t="shared" ref="G30:I32" si="4">G14-0.406167</f>
        <v>1.8174869999999999</v>
      </c>
      <c r="H30">
        <f t="shared" si="4"/>
        <v>1.5923929999999999</v>
      </c>
      <c r="I30">
        <f t="shared" si="4"/>
        <v>1.719233</v>
      </c>
    </row>
    <row r="31" spans="3:9">
      <c r="C31" s="11" t="s">
        <v>89</v>
      </c>
      <c r="D31">
        <f t="shared" si="2"/>
        <v>2.5660129999999999</v>
      </c>
      <c r="E31">
        <f t="shared" si="2"/>
        <v>1.8252230000000003</v>
      </c>
      <c r="F31">
        <f t="shared" si="2"/>
        <v>2.1306129999999999</v>
      </c>
      <c r="G31">
        <f t="shared" si="4"/>
        <v>3.5450330000000001</v>
      </c>
      <c r="H31">
        <f t="shared" si="4"/>
        <v>3.7182329999999997</v>
      </c>
      <c r="I31">
        <f t="shared" si="4"/>
        <v>3.5793330000000001</v>
      </c>
    </row>
    <row r="32" spans="3:9">
      <c r="C32" s="11" t="s">
        <v>90</v>
      </c>
      <c r="D32">
        <f>D16-0.432667</f>
        <v>0.91983300000000001</v>
      </c>
      <c r="E32">
        <f>E16-0.432667</f>
        <v>0.89293299999999987</v>
      </c>
      <c r="F32">
        <f t="shared" si="2"/>
        <v>1.0096629999999998</v>
      </c>
      <c r="G32">
        <f>G16-0.406167</f>
        <v>0.84853299999999998</v>
      </c>
      <c r="H32">
        <f t="shared" si="4"/>
        <v>0.71833300000000011</v>
      </c>
      <c r="I32">
        <f t="shared" si="4"/>
        <v>0.73073300000000008</v>
      </c>
    </row>
    <row r="33" spans="3:7">
      <c r="D33" t="s">
        <v>92</v>
      </c>
      <c r="F33" t="s">
        <v>93</v>
      </c>
    </row>
    <row r="34" spans="3:7">
      <c r="C34" s="11" t="s">
        <v>42</v>
      </c>
      <c r="D34">
        <f>AVERAGE(D20:F20)</f>
        <v>4.8532999999999972E-2</v>
      </c>
      <c r="E34">
        <f>STDEV(D20:F20)</f>
        <v>3.345922892118109E-2</v>
      </c>
      <c r="F34">
        <f>AVERAGE(G20:I20)</f>
        <v>2.8472999999999988E-2</v>
      </c>
      <c r="G34">
        <f>STDEV(G20:I20)</f>
        <v>5.6742883254201987E-2</v>
      </c>
    </row>
    <row r="35" spans="3:7">
      <c r="C35" s="11" t="s">
        <v>73</v>
      </c>
      <c r="D35">
        <f t="shared" ref="D35:D45" si="5">AVERAGE(D21:F21)</f>
        <v>6.2549666666666628E-2</v>
      </c>
      <c r="E35">
        <f t="shared" ref="E35:E46" si="6">STDEV(D21:F21)</f>
        <v>2.807829826277463E-2</v>
      </c>
      <c r="F35">
        <f t="shared" ref="F35:F45" si="7">AVERAGE(G21:I21)</f>
        <v>0.11421633333333331</v>
      </c>
      <c r="G35">
        <f t="shared" ref="G35:G46" si="8">STDEV(G21:I21)</f>
        <v>1.4001101147171719E-2</v>
      </c>
    </row>
    <row r="36" spans="3:7">
      <c r="C36" s="11" t="s">
        <v>82</v>
      </c>
      <c r="D36">
        <f t="shared" si="5"/>
        <v>0.1184663333333333</v>
      </c>
      <c r="E36">
        <f t="shared" si="6"/>
        <v>2.3065414224187217E-2</v>
      </c>
      <c r="F36">
        <f t="shared" si="7"/>
        <v>1.5337500000000002</v>
      </c>
      <c r="G36">
        <f t="shared" si="8"/>
        <v>7.4993253676580773E-2</v>
      </c>
    </row>
    <row r="37" spans="3:7">
      <c r="C37" s="11" t="s">
        <v>83</v>
      </c>
      <c r="D37">
        <f t="shared" si="5"/>
        <v>6.6061333333333319E-2</v>
      </c>
      <c r="E37">
        <f t="shared" si="6"/>
        <v>4.2837285258677825E-2</v>
      </c>
      <c r="F37">
        <f t="shared" si="7"/>
        <v>0.13697833333333337</v>
      </c>
      <c r="G37">
        <f t="shared" si="8"/>
        <v>1.6723956629139336E-2</v>
      </c>
    </row>
    <row r="38" spans="3:7">
      <c r="C38" s="11" t="s">
        <v>84</v>
      </c>
      <c r="D38">
        <f t="shared" si="5"/>
        <v>0.11659966666666664</v>
      </c>
      <c r="E38">
        <f t="shared" si="6"/>
        <v>6.6819183872098661E-2</v>
      </c>
      <c r="F38">
        <f t="shared" si="7"/>
        <v>1.5083663333333333</v>
      </c>
      <c r="G38">
        <f t="shared" si="8"/>
        <v>1.813128052105905E-2</v>
      </c>
    </row>
    <row r="39" spans="3:7">
      <c r="C39" s="11"/>
    </row>
    <row r="40" spans="3:7">
      <c r="C40" s="11" t="s">
        <v>85</v>
      </c>
      <c r="D40">
        <f>AVERAGE(D26:F26)</f>
        <v>5.9588333333333299E-2</v>
      </c>
      <c r="E40">
        <f t="shared" si="6"/>
        <v>1.8576823876360921E-2</v>
      </c>
      <c r="F40">
        <f t="shared" si="7"/>
        <v>3.5010333333333331E-2</v>
      </c>
      <c r="G40">
        <f t="shared" si="8"/>
        <v>2.4989417787002033E-2</v>
      </c>
    </row>
    <row r="41" spans="3:7">
      <c r="C41" s="11" t="s">
        <v>86</v>
      </c>
      <c r="D41">
        <f t="shared" si="5"/>
        <v>7.9342999999999955E-2</v>
      </c>
      <c r="E41">
        <f t="shared" si="6"/>
        <v>1.4179397025261657E-2</v>
      </c>
      <c r="F41">
        <f t="shared" si="7"/>
        <v>0.1105915</v>
      </c>
      <c r="G41">
        <f t="shared" si="8"/>
        <v>2.4100631874496528E-2</v>
      </c>
    </row>
    <row r="42" spans="3:7">
      <c r="C42" s="11" t="s">
        <v>72</v>
      </c>
      <c r="D42">
        <f t="shared" si="5"/>
        <v>9.9343199999999965E-2</v>
      </c>
      <c r="E42">
        <f t="shared" si="6"/>
        <v>2.2461376829571254E-2</v>
      </c>
      <c r="F42">
        <f t="shared" si="7"/>
        <v>0.13542388333333336</v>
      </c>
      <c r="G42">
        <f t="shared" si="8"/>
        <v>1.5631721475603193E-2</v>
      </c>
    </row>
    <row r="43" spans="3:7">
      <c r="C43" s="11" t="s">
        <v>87</v>
      </c>
      <c r="D43">
        <f t="shared" si="5"/>
        <v>0.14863299999999993</v>
      </c>
      <c r="E43">
        <f t="shared" si="6"/>
        <v>4.5020328741580733E-2</v>
      </c>
      <c r="F43">
        <f t="shared" si="7"/>
        <v>1.515973</v>
      </c>
      <c r="G43">
        <f t="shared" si="8"/>
        <v>0.34233283818529653</v>
      </c>
    </row>
    <row r="44" spans="3:7">
      <c r="C44" s="11" t="s">
        <v>94</v>
      </c>
      <c r="D44">
        <f t="shared" si="5"/>
        <v>2.1227678846666667</v>
      </c>
      <c r="E44">
        <f t="shared" si="6"/>
        <v>0.33716543880848754</v>
      </c>
      <c r="F44">
        <f t="shared" si="7"/>
        <v>1.7097043333333335</v>
      </c>
      <c r="G44">
        <f t="shared" si="8"/>
        <v>0.11284911973663474</v>
      </c>
    </row>
    <row r="45" spans="3:7">
      <c r="C45" s="11" t="s">
        <v>95</v>
      </c>
      <c r="D45">
        <f t="shared" si="5"/>
        <v>2.1739496666666667</v>
      </c>
      <c r="E45">
        <f t="shared" si="6"/>
        <v>0.37229156051854606</v>
      </c>
      <c r="F45">
        <f t="shared" si="7"/>
        <v>3.6141996666666665</v>
      </c>
      <c r="G45">
        <f t="shared" si="8"/>
        <v>9.1713266942865412E-2</v>
      </c>
    </row>
    <row r="46" spans="3:7">
      <c r="C46" s="11" t="s">
        <v>90</v>
      </c>
      <c r="D46">
        <f>AVERAGE(D32:F32)</f>
        <v>0.94080966666666654</v>
      </c>
      <c r="E46">
        <f t="shared" si="6"/>
        <v>6.1126824171825925E-2</v>
      </c>
      <c r="F46">
        <f>AVERAGE(G32:I32)</f>
        <v>0.76586633333333332</v>
      </c>
      <c r="G46">
        <f t="shared" si="8"/>
        <v>7.1859399756283276E-2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8"/>
  <sheetViews>
    <sheetView workbookViewId="0">
      <selection activeCell="M34" sqref="M34"/>
    </sheetView>
  </sheetViews>
  <sheetFormatPr baseColWidth="10" defaultRowHeight="16"/>
  <cols>
    <col min="3" max="3" width="20.83203125" customWidth="1"/>
  </cols>
  <sheetData>
    <row r="1" spans="1:9">
      <c r="A1" t="s">
        <v>76</v>
      </c>
    </row>
    <row r="2" spans="1:9">
      <c r="A2" t="s">
        <v>79</v>
      </c>
    </row>
    <row r="3" spans="1:9">
      <c r="A3" t="s">
        <v>80</v>
      </c>
      <c r="E3" t="s">
        <v>77</v>
      </c>
      <c r="H3" t="s">
        <v>78</v>
      </c>
    </row>
    <row r="4" spans="1:9">
      <c r="C4" t="s">
        <v>96</v>
      </c>
      <c r="D4">
        <v>1</v>
      </c>
      <c r="E4">
        <v>2</v>
      </c>
      <c r="F4">
        <v>3</v>
      </c>
      <c r="G4">
        <v>1</v>
      </c>
      <c r="H4">
        <v>2</v>
      </c>
      <c r="I4">
        <v>3</v>
      </c>
    </row>
    <row r="5" spans="1:9">
      <c r="C5" s="11" t="s">
        <v>97</v>
      </c>
      <c r="D5" s="18">
        <v>0.42369000000000001</v>
      </c>
      <c r="E5" s="18">
        <v>0.43218000000000001</v>
      </c>
      <c r="F5" s="18">
        <v>0.42896000000000001</v>
      </c>
      <c r="G5" s="20">
        <v>0.43658000000000002</v>
      </c>
      <c r="H5" s="20">
        <v>0.41256999999999999</v>
      </c>
      <c r="I5" s="20">
        <v>0.40895999999999999</v>
      </c>
    </row>
    <row r="6" spans="1:9">
      <c r="C6" s="11" t="s">
        <v>98</v>
      </c>
      <c r="D6" s="18">
        <v>0.43697999999999998</v>
      </c>
      <c r="E6" s="18">
        <v>0.48652000000000001</v>
      </c>
      <c r="F6" s="18">
        <v>0.45728000000000002</v>
      </c>
      <c r="G6" s="20">
        <v>1.4253</v>
      </c>
      <c r="H6" s="20">
        <v>1.2968</v>
      </c>
      <c r="I6" s="20">
        <v>1.5126999999999999</v>
      </c>
    </row>
    <row r="7" spans="1:9">
      <c r="C7" s="11" t="s">
        <v>75</v>
      </c>
      <c r="D7" s="18">
        <v>0.42369000000000001</v>
      </c>
      <c r="E7" s="18">
        <v>0.43697999999999998</v>
      </c>
      <c r="F7" s="18">
        <v>0.41256999999999999</v>
      </c>
      <c r="G7" s="20">
        <v>0.43874000000000002</v>
      </c>
      <c r="H7" s="20">
        <v>0.41258</v>
      </c>
      <c r="I7" s="20">
        <v>0.42369000000000001</v>
      </c>
    </row>
    <row r="8" spans="1:9">
      <c r="C8" s="11" t="s">
        <v>99</v>
      </c>
      <c r="D8" s="18">
        <v>0.45235999999999998</v>
      </c>
      <c r="E8" s="18">
        <v>0.43254999999999999</v>
      </c>
      <c r="F8" s="18">
        <v>0.43656</v>
      </c>
      <c r="G8" s="20">
        <v>1.4262999999999999</v>
      </c>
      <c r="H8" s="20">
        <v>1.55236</v>
      </c>
      <c r="I8" s="20">
        <v>1.51478</v>
      </c>
    </row>
    <row r="9" spans="1:9">
      <c r="C9" s="11" t="s">
        <v>100</v>
      </c>
      <c r="D9" s="18">
        <v>1.4236</v>
      </c>
      <c r="E9" s="18">
        <v>1.51247</v>
      </c>
      <c r="F9" s="18">
        <v>1.5389600000000001</v>
      </c>
      <c r="G9" s="20">
        <v>1.5364</v>
      </c>
      <c r="H9" s="20">
        <v>1.5246999999999999</v>
      </c>
      <c r="I9" s="20">
        <v>1.5785</v>
      </c>
    </row>
    <row r="10" spans="1:9">
      <c r="C10" s="11" t="s">
        <v>101</v>
      </c>
      <c r="D10" s="18">
        <v>1.5243230000000001</v>
      </c>
      <c r="E10">
        <v>1.4236599999999999</v>
      </c>
      <c r="F10" s="18">
        <v>1.51478</v>
      </c>
      <c r="G10" s="20">
        <v>2.25</v>
      </c>
      <c r="H10" s="20">
        <v>2.54</v>
      </c>
      <c r="I10" s="20">
        <v>2.14</v>
      </c>
    </row>
    <row r="14" spans="1:9">
      <c r="C14" s="11" t="s">
        <v>91</v>
      </c>
    </row>
    <row r="15" spans="1:9">
      <c r="C15" s="11" t="s">
        <v>97</v>
      </c>
      <c r="D15">
        <v>4.0223000000000009E-2</v>
      </c>
      <c r="E15">
        <v>4.8713000000000006E-2</v>
      </c>
      <c r="F15">
        <v>4.5493000000000006E-2</v>
      </c>
      <c r="G15">
        <v>7.3357000000000006E-2</v>
      </c>
      <c r="H15">
        <v>4.9346999999999974E-2</v>
      </c>
      <c r="I15">
        <v>4.5736999999999972E-2</v>
      </c>
    </row>
    <row r="16" spans="1:9">
      <c r="C16" s="11" t="s">
        <v>98</v>
      </c>
      <c r="D16">
        <v>5.3512999999999977E-2</v>
      </c>
      <c r="E16">
        <v>0.10305300000000001</v>
      </c>
      <c r="F16">
        <v>7.3813000000000017E-2</v>
      </c>
      <c r="G16">
        <v>1.0620769999999999</v>
      </c>
      <c r="H16">
        <v>0.93357699999999988</v>
      </c>
      <c r="I16">
        <v>1.1494769999999999</v>
      </c>
    </row>
    <row r="17" spans="3:9">
      <c r="C17" s="11" t="s">
        <v>75</v>
      </c>
      <c r="D17">
        <v>4.0223000000000009E-2</v>
      </c>
      <c r="E17">
        <v>5.3512999999999977E-2</v>
      </c>
      <c r="F17">
        <v>2.910299999999999E-2</v>
      </c>
      <c r="G17">
        <v>7.5517000000000001E-2</v>
      </c>
      <c r="H17">
        <v>4.9356999999999984E-2</v>
      </c>
      <c r="I17">
        <v>6.0466999999999993E-2</v>
      </c>
    </row>
    <row r="18" spans="3:9">
      <c r="C18" s="11" t="s">
        <v>99</v>
      </c>
      <c r="D18">
        <v>6.8892999999999982E-2</v>
      </c>
      <c r="E18">
        <v>4.9082999999999988E-2</v>
      </c>
      <c r="F18">
        <v>5.3093000000000001E-2</v>
      </c>
      <c r="G18">
        <v>1.0630769999999998</v>
      </c>
      <c r="H18">
        <v>1.1891369999999999</v>
      </c>
      <c r="I18">
        <v>1.1515569999999999</v>
      </c>
    </row>
    <row r="19" spans="3:9">
      <c r="C19" s="11" t="s">
        <v>100</v>
      </c>
      <c r="D19">
        <v>1.040133</v>
      </c>
      <c r="E19">
        <v>1.129003</v>
      </c>
      <c r="F19">
        <v>1.1554930000000001</v>
      </c>
      <c r="G19">
        <v>1.1731769999999999</v>
      </c>
      <c r="H19">
        <v>1.1614769999999999</v>
      </c>
      <c r="I19">
        <v>1.2152769999999999</v>
      </c>
    </row>
    <row r="20" spans="3:9">
      <c r="C20" s="11" t="s">
        <v>101</v>
      </c>
      <c r="D20">
        <v>1.1408560000000001</v>
      </c>
      <c r="E20">
        <v>1.0401929999999999</v>
      </c>
      <c r="F20">
        <v>1.131313</v>
      </c>
      <c r="G20">
        <v>1.8867769999999999</v>
      </c>
      <c r="H20">
        <v>2.176777</v>
      </c>
      <c r="I20">
        <v>1.7767770000000001</v>
      </c>
    </row>
    <row r="22" spans="3:9">
      <c r="D22" t="s">
        <v>103</v>
      </c>
      <c r="E22" t="s">
        <v>66</v>
      </c>
      <c r="F22" t="s">
        <v>102</v>
      </c>
      <c r="G22" t="s">
        <v>66</v>
      </c>
    </row>
    <row r="23" spans="3:9">
      <c r="C23" t="s">
        <v>97</v>
      </c>
      <c r="D23">
        <v>4.4809666666666671E-2</v>
      </c>
      <c r="E23">
        <v>4.2860510185173161E-3</v>
      </c>
      <c r="F23">
        <v>5.6146999999999982E-2</v>
      </c>
      <c r="G23">
        <v>1.501319752750894E-2</v>
      </c>
    </row>
    <row r="24" spans="3:9">
      <c r="C24" t="s">
        <v>98</v>
      </c>
      <c r="D24">
        <v>7.6793E-2</v>
      </c>
      <c r="E24">
        <v>2.490407998702222E-2</v>
      </c>
      <c r="F24">
        <v>1.0483769999999999</v>
      </c>
      <c r="G24">
        <v>0.10860004604050588</v>
      </c>
    </row>
    <row r="25" spans="3:9">
      <c r="C25" t="s">
        <v>75</v>
      </c>
      <c r="D25">
        <v>4.0946333333333328E-2</v>
      </c>
      <c r="E25">
        <v>1.2221065147250167E-2</v>
      </c>
      <c r="F25">
        <v>6.1780333333333326E-2</v>
      </c>
      <c r="G25">
        <v>1.3129357689290596E-2</v>
      </c>
    </row>
    <row r="26" spans="3:9">
      <c r="C26" t="s">
        <v>99</v>
      </c>
      <c r="D26">
        <v>5.702299999999999E-2</v>
      </c>
      <c r="E26">
        <v>1.047342828304083E-2</v>
      </c>
      <c r="F26">
        <v>1.1345903333333331</v>
      </c>
      <c r="G26">
        <v>6.4720025751952071E-2</v>
      </c>
    </row>
    <row r="27" spans="3:9">
      <c r="C27" t="s">
        <v>100</v>
      </c>
      <c r="D27">
        <v>1.1082096666666665</v>
      </c>
      <c r="E27">
        <v>6.0425610740259296E-2</v>
      </c>
      <c r="F27">
        <v>1.1833103333333332</v>
      </c>
      <c r="G27">
        <v>2.8295288182546136E-2</v>
      </c>
    </row>
    <row r="28" spans="3:9">
      <c r="C28" t="s">
        <v>101</v>
      </c>
      <c r="D28">
        <v>1.1041206666666665</v>
      </c>
      <c r="E28">
        <v>5.5568220561156553E-2</v>
      </c>
      <c r="F28">
        <v>1.946777</v>
      </c>
      <c r="G28">
        <v>0.20663978319771822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3"/>
  <sheetViews>
    <sheetView workbookViewId="0">
      <selection activeCell="P24" sqref="P24"/>
    </sheetView>
  </sheetViews>
  <sheetFormatPr baseColWidth="10" defaultRowHeight="16"/>
  <sheetData>
    <row r="1" spans="1:21">
      <c r="A1" s="1" t="s">
        <v>438</v>
      </c>
      <c r="F1" s="63" t="s">
        <v>436</v>
      </c>
      <c r="G1" s="63"/>
      <c r="H1" s="63"/>
      <c r="I1" s="63"/>
    </row>
    <row r="2" spans="1:21">
      <c r="B2" s="1" t="s">
        <v>312</v>
      </c>
      <c r="C2" s="1" t="s">
        <v>313</v>
      </c>
      <c r="D2" s="1" t="s">
        <v>314</v>
      </c>
      <c r="E2" s="1" t="s">
        <v>315</v>
      </c>
      <c r="F2" s="1" t="s">
        <v>312</v>
      </c>
      <c r="G2" s="1" t="s">
        <v>313</v>
      </c>
      <c r="H2" s="1" t="s">
        <v>314</v>
      </c>
      <c r="I2" s="1" t="s">
        <v>315</v>
      </c>
      <c r="N2" s="1" t="s">
        <v>318</v>
      </c>
      <c r="O2" s="1" t="s">
        <v>319</v>
      </c>
      <c r="P2" s="1" t="s">
        <v>320</v>
      </c>
      <c r="Q2" s="1" t="s">
        <v>321</v>
      </c>
      <c r="R2" s="1" t="s">
        <v>322</v>
      </c>
      <c r="S2" s="1" t="s">
        <v>323</v>
      </c>
      <c r="T2" s="1" t="s">
        <v>324</v>
      </c>
      <c r="U2" s="1" t="s">
        <v>325</v>
      </c>
    </row>
    <row r="3" spans="1:21">
      <c r="A3" t="s">
        <v>303</v>
      </c>
      <c r="B3" s="52">
        <v>0.88590000000000002</v>
      </c>
      <c r="C3">
        <v>0.87498498498460997</v>
      </c>
      <c r="D3">
        <v>0.89598496000000005</v>
      </c>
      <c r="E3">
        <v>0.84415449639999995</v>
      </c>
      <c r="F3">
        <f>B3/0.8766522*100</f>
        <v>101.05489953712545</v>
      </c>
      <c r="G3">
        <f t="shared" ref="G3:I11" si="0">C3/0.8766522*100</f>
        <v>99.809820243947371</v>
      </c>
      <c r="H3">
        <f t="shared" si="0"/>
        <v>102.20529418622345</v>
      </c>
      <c r="I3">
        <f t="shared" si="0"/>
        <v>96.292976439230969</v>
      </c>
      <c r="M3" s="1" t="s">
        <v>158</v>
      </c>
      <c r="N3">
        <f>AVERAGE(F3:F5)</f>
        <v>100</v>
      </c>
      <c r="O3">
        <f>STDEV(F3:F5)</f>
        <v>2.1924115993149416</v>
      </c>
      <c r="P3">
        <f>AVERAGE(G3:G5)</f>
        <v>100.61512192218724</v>
      </c>
      <c r="Q3">
        <f>STDEV(G3:G5)</f>
        <v>3.4837305119947986</v>
      </c>
      <c r="R3">
        <f>AVERAGE(H3:H5)</f>
        <v>100.00924356637194</v>
      </c>
      <c r="S3">
        <f>STDEV(H3:H5)</f>
        <v>2.3327034716489186</v>
      </c>
      <c r="T3">
        <f>AVERAGE(I3:I5)</f>
        <v>95.729241874979991</v>
      </c>
      <c r="U3">
        <f>STDEV(I3:I5)</f>
        <v>1.3722792563178301</v>
      </c>
    </row>
    <row r="4" spans="1:21">
      <c r="A4" t="s">
        <v>304</v>
      </c>
      <c r="B4" s="52">
        <v>0.88949999999999996</v>
      </c>
      <c r="C4">
        <v>0.855652556146</v>
      </c>
      <c r="D4">
        <v>0.87894875431399999</v>
      </c>
      <c r="E4">
        <v>0.84798456209999995</v>
      </c>
      <c r="F4">
        <f t="shared" ref="F4:F11" si="1">B4/0.8766522*100</f>
        <v>101.46555270151605</v>
      </c>
      <c r="G4">
        <f t="shared" si="0"/>
        <v>97.604563833410779</v>
      </c>
      <c r="H4">
        <f t="shared" si="0"/>
        <v>100.26196869339974</v>
      </c>
      <c r="I4">
        <f t="shared" si="0"/>
        <v>96.729873272433466</v>
      </c>
      <c r="M4" s="1" t="s">
        <v>316</v>
      </c>
      <c r="N4">
        <f>AVERAGE(F6:F8)</f>
        <v>101.43541532206272</v>
      </c>
      <c r="O4">
        <f>STDEV(F6:F8)</f>
        <v>0.76375953614513581</v>
      </c>
      <c r="P4">
        <f>AVERAGE(G6:G8)</f>
        <v>100.39784930133067</v>
      </c>
      <c r="Q4">
        <f>STDEV(G6:G8)</f>
        <v>0.27374496361991596</v>
      </c>
      <c r="R4">
        <f>AVERAGE(H6:H8)</f>
        <v>100.0506085173801</v>
      </c>
      <c r="S4">
        <f>STDEV(H6:H8)</f>
        <v>1.3276758273448128</v>
      </c>
      <c r="T4">
        <f>AVERAGE(I6:I8)</f>
        <v>90.561812347649777</v>
      </c>
      <c r="U4">
        <f>STDEV(I6:I8)</f>
        <v>0.76387915765517644</v>
      </c>
    </row>
    <row r="5" spans="1:21">
      <c r="A5" t="s">
        <v>305</v>
      </c>
      <c r="B5" s="52">
        <v>0.8545566</v>
      </c>
      <c r="C5">
        <v>0.91549649846000003</v>
      </c>
      <c r="D5">
        <v>0.85526598746987403</v>
      </c>
      <c r="E5">
        <v>0.82549845632100005</v>
      </c>
      <c r="F5">
        <f t="shared" si="1"/>
        <v>97.479547761358504</v>
      </c>
      <c r="G5">
        <f t="shared" si="0"/>
        <v>104.43098168920355</v>
      </c>
      <c r="H5">
        <f t="shared" si="0"/>
        <v>97.560467819492615</v>
      </c>
      <c r="I5">
        <f t="shared" si="0"/>
        <v>94.164875913275537</v>
      </c>
      <c r="M5" s="1" t="s">
        <v>317</v>
      </c>
      <c r="N5">
        <f>AVERAGE(F9:F11)</f>
        <v>101.74282305647175</v>
      </c>
      <c r="O5">
        <f>STDEV(F9:F11)</f>
        <v>0.99737925156489893</v>
      </c>
      <c r="P5">
        <f>AVERAGE(G9:G11)</f>
        <v>98.456349355879112</v>
      </c>
      <c r="Q5">
        <f>STDEV(G9:G11)</f>
        <v>2.6798185655114368</v>
      </c>
      <c r="R5">
        <f>AVERAGE(H9:H11)</f>
        <v>84.817992214624368</v>
      </c>
      <c r="S5">
        <f>STDEV(H9:H11)</f>
        <v>4.1166222535522925</v>
      </c>
      <c r="T5">
        <f>AVERAGE(I9:I11)</f>
        <v>72.35854160664708</v>
      </c>
      <c r="U5">
        <f>STDEV(I9:I11)</f>
        <v>2.3141493036244305</v>
      </c>
    </row>
    <row r="6" spans="1:21">
      <c r="A6" t="s">
        <v>306</v>
      </c>
      <c r="B6">
        <v>0.88522999999999996</v>
      </c>
      <c r="C6">
        <v>0.87787498484299997</v>
      </c>
      <c r="D6">
        <v>0.88958654165100004</v>
      </c>
      <c r="E6">
        <v>0.79565465410000002</v>
      </c>
      <c r="F6">
        <f t="shared" si="1"/>
        <v>100.97847242041939</v>
      </c>
      <c r="G6">
        <f t="shared" si="0"/>
        <v>100.13948346254078</v>
      </c>
      <c r="H6">
        <f t="shared" si="0"/>
        <v>101.47542453563683</v>
      </c>
      <c r="I6">
        <f t="shared" si="0"/>
        <v>90.76058374119178</v>
      </c>
    </row>
    <row r="7" spans="1:21">
      <c r="A7" t="s">
        <v>307</v>
      </c>
      <c r="B7">
        <v>0.89696540000000002</v>
      </c>
      <c r="C7">
        <v>0.87988989413539997</v>
      </c>
      <c r="D7">
        <v>0.86655449874099999</v>
      </c>
      <c r="E7">
        <v>0.78651654165152995</v>
      </c>
      <c r="F7">
        <f t="shared" si="1"/>
        <v>102.31713329413878</v>
      </c>
      <c r="G7">
        <f t="shared" si="0"/>
        <v>100.36932481723082</v>
      </c>
      <c r="H7">
        <f t="shared" si="0"/>
        <v>98.848151951366802</v>
      </c>
      <c r="I7">
        <f t="shared" si="0"/>
        <v>89.7181962985469</v>
      </c>
    </row>
    <row r="8" spans="1:21">
      <c r="A8" t="s">
        <v>308</v>
      </c>
      <c r="B8">
        <v>0.88551199999999997</v>
      </c>
      <c r="C8">
        <v>0.88265498497999995</v>
      </c>
      <c r="D8">
        <v>0.87514654165100003</v>
      </c>
      <c r="E8">
        <v>0.79956516516510001</v>
      </c>
      <c r="F8">
        <f t="shared" si="1"/>
        <v>101.01064025163001</v>
      </c>
      <c r="G8">
        <f t="shared" si="0"/>
        <v>100.6847396242204</v>
      </c>
      <c r="H8">
        <f t="shared" si="0"/>
        <v>99.82824906513666</v>
      </c>
      <c r="I8">
        <f t="shared" si="0"/>
        <v>91.206657003210623</v>
      </c>
    </row>
    <row r="9" spans="1:21">
      <c r="A9" t="s">
        <v>309</v>
      </c>
      <c r="B9">
        <v>0.88454500000000003</v>
      </c>
      <c r="C9">
        <v>0.88956136515299999</v>
      </c>
      <c r="D9">
        <v>0.76215498400000004</v>
      </c>
      <c r="E9">
        <v>0.65561654987490003</v>
      </c>
      <c r="F9">
        <f t="shared" si="1"/>
        <v>100.90033424886175</v>
      </c>
      <c r="G9">
        <f t="shared" si="0"/>
        <v>101.47255264436683</v>
      </c>
      <c r="H9">
        <f t="shared" si="0"/>
        <v>86.939265537689863</v>
      </c>
      <c r="I9">
        <f t="shared" si="0"/>
        <v>74.786391898052614</v>
      </c>
    </row>
    <row r="10" spans="1:21">
      <c r="A10" t="s">
        <v>310</v>
      </c>
      <c r="B10">
        <v>0.90158494</v>
      </c>
      <c r="C10">
        <v>0.85514654165100001</v>
      </c>
      <c r="D10">
        <v>0.70196498489600001</v>
      </c>
      <c r="E10">
        <v>0.63216514897486098</v>
      </c>
      <c r="F10">
        <f t="shared" si="1"/>
        <v>102.8440857160913</v>
      </c>
      <c r="G10">
        <f t="shared" si="0"/>
        <v>97.546842596299882</v>
      </c>
      <c r="H10">
        <f t="shared" si="0"/>
        <v>80.073372871932563</v>
      </c>
      <c r="I10">
        <f t="shared" si="0"/>
        <v>72.111283012220923</v>
      </c>
    </row>
    <row r="11" spans="1:21">
      <c r="A11" t="s">
        <v>311</v>
      </c>
      <c r="B11">
        <v>0.88966215000000004</v>
      </c>
      <c r="C11">
        <v>0.84465135120000001</v>
      </c>
      <c r="D11">
        <v>0.76655641533999996</v>
      </c>
      <c r="E11">
        <v>0.61521654179800001</v>
      </c>
      <c r="F11">
        <f t="shared" si="1"/>
        <v>101.48404920446217</v>
      </c>
      <c r="G11">
        <f t="shared" si="0"/>
        <v>96.349652826970612</v>
      </c>
      <c r="H11">
        <f t="shared" si="0"/>
        <v>87.441338234250708</v>
      </c>
      <c r="I11">
        <f t="shared" si="0"/>
        <v>70.177949909667717</v>
      </c>
    </row>
    <row r="13" spans="1:21">
      <c r="A13" s="53" t="s">
        <v>439</v>
      </c>
      <c r="F13" s="63" t="s">
        <v>436</v>
      </c>
      <c r="G13" s="63"/>
      <c r="H13" s="63"/>
      <c r="I13" s="63"/>
    </row>
    <row r="14" spans="1:21">
      <c r="B14" s="1" t="s">
        <v>312</v>
      </c>
      <c r="C14" s="1" t="s">
        <v>313</v>
      </c>
      <c r="D14" s="1" t="s">
        <v>314</v>
      </c>
      <c r="E14" s="1" t="s">
        <v>315</v>
      </c>
      <c r="F14" s="1" t="s">
        <v>312</v>
      </c>
      <c r="G14" s="1" t="s">
        <v>313</v>
      </c>
      <c r="H14" s="1" t="s">
        <v>314</v>
      </c>
      <c r="I14" s="1" t="s">
        <v>315</v>
      </c>
    </row>
    <row r="15" spans="1:21">
      <c r="A15" t="s">
        <v>303</v>
      </c>
      <c r="B15">
        <v>0.80215466499999999</v>
      </c>
      <c r="C15">
        <v>0.78564561349999995</v>
      </c>
      <c r="D15">
        <v>0.74521654189700004</v>
      </c>
      <c r="E15">
        <v>0.65989485599999997</v>
      </c>
      <c r="F15">
        <f>B15/0.80108822*100</f>
        <v>100.13312453901769</v>
      </c>
      <c r="G15">
        <f t="shared" ref="G15:I23" si="2">C15/0.80108822*100</f>
        <v>98.072296394521928</v>
      </c>
      <c r="H15">
        <f t="shared" si="2"/>
        <v>93.025527437789563</v>
      </c>
      <c r="I15">
        <f t="shared" si="2"/>
        <v>82.37480461265551</v>
      </c>
      <c r="L15" s="1" t="s">
        <v>318</v>
      </c>
      <c r="M15" s="1" t="s">
        <v>319</v>
      </c>
      <c r="N15" s="1" t="s">
        <v>320</v>
      </c>
      <c r="O15" s="1" t="s">
        <v>321</v>
      </c>
      <c r="P15" s="1" t="s">
        <v>322</v>
      </c>
      <c r="Q15" s="1" t="s">
        <v>323</v>
      </c>
      <c r="R15" s="1" t="s">
        <v>324</v>
      </c>
      <c r="S15" s="1" t="s">
        <v>325</v>
      </c>
    </row>
    <row r="16" spans="1:21">
      <c r="A16" t="s">
        <v>304</v>
      </c>
      <c r="B16">
        <v>0.812554</v>
      </c>
      <c r="C16">
        <v>0.79588516513499996</v>
      </c>
      <c r="D16">
        <v>0.78516516000000003</v>
      </c>
      <c r="E16">
        <v>0.656512121</v>
      </c>
      <c r="F16">
        <f t="shared" ref="F16:F23" si="3">B16/0.80108822*100</f>
        <v>101.43127557162181</v>
      </c>
      <c r="G16">
        <f t="shared" si="2"/>
        <v>99.350501638259018</v>
      </c>
      <c r="H16">
        <f t="shared" si="2"/>
        <v>98.012321289657706</v>
      </c>
      <c r="I16">
        <f t="shared" si="2"/>
        <v>81.952537137545221</v>
      </c>
      <c r="K16" s="1" t="s">
        <v>158</v>
      </c>
      <c r="L16">
        <f>AVERAGE(F15:F17)</f>
        <v>100.00000020805032</v>
      </c>
      <c r="M16">
        <f>STDEV(F15:F17)</f>
        <v>1.5022678952396273</v>
      </c>
      <c r="N16">
        <f>AVERAGE(G15:G17)</f>
        <v>99.783930257818952</v>
      </c>
      <c r="O16">
        <f>STDEV(G15:G17)</f>
        <v>1.9645411557917589</v>
      </c>
      <c r="P16">
        <f>AVERAGE(H15:H17)</f>
        <v>96.907458452661629</v>
      </c>
      <c r="Q16">
        <f>STDEV(H15:H17)</f>
        <v>3.4642616787255198</v>
      </c>
      <c r="R16">
        <f>AVERAGE(I15:I17)</f>
        <v>80.791036364675705</v>
      </c>
      <c r="S16">
        <f>STDEV(I15:I17)</f>
        <v>2.3868292676184959</v>
      </c>
    </row>
    <row r="17" spans="1:19">
      <c r="A17" t="s">
        <v>305</v>
      </c>
      <c r="B17">
        <v>0.78855600000000003</v>
      </c>
      <c r="C17">
        <v>0.81654115361020996</v>
      </c>
      <c r="D17">
        <v>0.79856099999999997</v>
      </c>
      <c r="E17">
        <v>0.62521544839999998</v>
      </c>
      <c r="F17">
        <f t="shared" si="3"/>
        <v>98.435600513511488</v>
      </c>
      <c r="G17">
        <f t="shared" si="2"/>
        <v>101.92899274067592</v>
      </c>
      <c r="H17">
        <f t="shared" si="2"/>
        <v>99.684526630537647</v>
      </c>
      <c r="I17">
        <f t="shared" si="2"/>
        <v>78.045767343826384</v>
      </c>
      <c r="K17" s="1" t="s">
        <v>316</v>
      </c>
      <c r="L17">
        <f>AVERAGE(F18:F20)</f>
        <v>99.451620530216587</v>
      </c>
      <c r="M17">
        <f>STDEV(F18:F20)</f>
        <v>1.2088834946847298</v>
      </c>
      <c r="N17">
        <f>AVERAGE(G18:G20)</f>
        <v>99.770014288501457</v>
      </c>
      <c r="O17">
        <f>STDEV(G18:G20)</f>
        <v>1.647805193618195</v>
      </c>
      <c r="P17">
        <f>AVERAGE(H18:H20)</f>
        <v>89.65768306437792</v>
      </c>
      <c r="Q17">
        <f>STDEV(H18:H20)</f>
        <v>4.3344338286596997</v>
      </c>
      <c r="R17">
        <f>AVERAGE(I18:I20)</f>
        <v>64.240628412519484</v>
      </c>
      <c r="S17">
        <f>STDEV(I18:I20)</f>
        <v>6.4965533904424957</v>
      </c>
    </row>
    <row r="18" spans="1:19">
      <c r="A18" t="s">
        <v>306</v>
      </c>
      <c r="B18">
        <v>0.80245544999999996</v>
      </c>
      <c r="C18">
        <v>0.78565964694768098</v>
      </c>
      <c r="D18">
        <v>0.71456156199999998</v>
      </c>
      <c r="E18">
        <v>0.54798449999999999</v>
      </c>
      <c r="F18">
        <f t="shared" si="3"/>
        <v>100.17067158970332</v>
      </c>
      <c r="G18">
        <f t="shared" si="2"/>
        <v>98.074048192554997</v>
      </c>
      <c r="H18">
        <f t="shared" si="2"/>
        <v>89.198860270345747</v>
      </c>
      <c r="I18">
        <f t="shared" si="2"/>
        <v>68.405012871116739</v>
      </c>
      <c r="K18" s="1" t="s">
        <v>317</v>
      </c>
      <c r="L18">
        <f>AVERAGE(F21:F23)</f>
        <v>96.565236389736626</v>
      </c>
      <c r="M18">
        <f>STDEV(F21:F23)</f>
        <v>4.7214772647654417</v>
      </c>
      <c r="N18">
        <f>AVERAGE(G21:G23)</f>
        <v>75.964101640440219</v>
      </c>
      <c r="O18">
        <f>STDEV(G21:G23)</f>
        <v>6.5099349664904969</v>
      </c>
      <c r="P18">
        <f>AVERAGE(H21:H23)</f>
        <v>39.494031150521472</v>
      </c>
      <c r="Q18">
        <f>STDEV(H21:H23)</f>
        <v>1.9768519263739872</v>
      </c>
      <c r="R18">
        <f>AVERAGE(I21:I23)</f>
        <v>16.512532190274872</v>
      </c>
      <c r="S18">
        <f>STDEV(I21:I23)</f>
        <v>2.4990669883309637</v>
      </c>
    </row>
    <row r="19" spans="1:19">
      <c r="A19" t="s">
        <v>307</v>
      </c>
      <c r="B19">
        <v>0.80211564000000002</v>
      </c>
      <c r="C19">
        <v>0.81202319874984097</v>
      </c>
      <c r="D19">
        <v>0.75465135132000005</v>
      </c>
      <c r="E19">
        <v>0.54123131999999996</v>
      </c>
      <c r="F19">
        <f t="shared" si="3"/>
        <v>100.12825304059521</v>
      </c>
      <c r="G19">
        <f t="shared" si="2"/>
        <v>101.36501554720665</v>
      </c>
      <c r="H19">
        <f t="shared" si="2"/>
        <v>94.203276552986893</v>
      </c>
      <c r="I19">
        <f t="shared" si="2"/>
        <v>67.562012084012409</v>
      </c>
    </row>
    <row r="20" spans="1:19">
      <c r="A20" t="s">
        <v>308</v>
      </c>
      <c r="B20">
        <v>0.78551455999999997</v>
      </c>
      <c r="C20">
        <v>0.80005464897498402</v>
      </c>
      <c r="D20">
        <v>0.685498498741</v>
      </c>
      <c r="E20">
        <v>0.45465650000000002</v>
      </c>
      <c r="F20">
        <f t="shared" si="3"/>
        <v>98.055936960351247</v>
      </c>
      <c r="G20">
        <f t="shared" si="2"/>
        <v>99.870979125742736</v>
      </c>
      <c r="H20">
        <f t="shared" si="2"/>
        <v>85.570912369801164</v>
      </c>
      <c r="I20">
        <f t="shared" si="2"/>
        <v>56.75486028242932</v>
      </c>
    </row>
    <row r="21" spans="1:19">
      <c r="A21" t="s">
        <v>309</v>
      </c>
      <c r="B21">
        <v>0.758741</v>
      </c>
      <c r="C21">
        <v>0.55541687498467995</v>
      </c>
      <c r="D21">
        <v>0.33212584984987398</v>
      </c>
      <c r="E21">
        <v>0.11649645</v>
      </c>
      <c r="F21">
        <f t="shared" si="3"/>
        <v>94.713788201753857</v>
      </c>
      <c r="G21">
        <f t="shared" si="2"/>
        <v>69.332797701691334</v>
      </c>
      <c r="H21">
        <f t="shared" si="2"/>
        <v>41.459335134134662</v>
      </c>
      <c r="I21">
        <f t="shared" si="2"/>
        <v>14.542274757204643</v>
      </c>
    </row>
    <row r="22" spans="1:19">
      <c r="A22" t="s">
        <v>310</v>
      </c>
      <c r="B22">
        <v>0.7454132</v>
      </c>
      <c r="C22">
        <v>0.61054168416499999</v>
      </c>
      <c r="D22">
        <v>0.30045478746799997</v>
      </c>
      <c r="E22">
        <v>0.12554465410000001</v>
      </c>
      <c r="F22">
        <f t="shared" si="3"/>
        <v>93.05007630745088</v>
      </c>
      <c r="G22">
        <f t="shared" si="2"/>
        <v>76.214038469445967</v>
      </c>
      <c r="H22">
        <f t="shared" si="2"/>
        <v>37.505830190337832</v>
      </c>
      <c r="I22">
        <f t="shared" si="2"/>
        <v>15.671763853923606</v>
      </c>
    </row>
    <row r="23" spans="1:19">
      <c r="A23" t="s">
        <v>311</v>
      </c>
      <c r="B23">
        <v>0.81656399999999996</v>
      </c>
      <c r="C23">
        <v>0.65965984986149995</v>
      </c>
      <c r="D23">
        <v>0.31656545613199999</v>
      </c>
      <c r="E23">
        <v>0.1547987465</v>
      </c>
      <c r="F23">
        <f t="shared" si="3"/>
        <v>101.93184466000511</v>
      </c>
      <c r="G23">
        <f t="shared" si="2"/>
        <v>82.345468750183343</v>
      </c>
      <c r="H23">
        <f t="shared" si="2"/>
        <v>39.516928127091916</v>
      </c>
      <c r="I23">
        <f t="shared" si="2"/>
        <v>19.323557959696373</v>
      </c>
    </row>
  </sheetData>
  <mergeCells count="2">
    <mergeCell ref="F1:I1"/>
    <mergeCell ref="F13:I13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S1</vt:lpstr>
      <vt:lpstr>Figure S2</vt:lpstr>
      <vt:lpstr>Figure S3</vt:lpstr>
      <vt:lpstr>Figure S4</vt:lpstr>
      <vt:lpstr>Figure S7</vt:lpstr>
      <vt:lpstr>Figure S8</vt:lpstr>
      <vt:lpstr>Figure S9</vt:lpstr>
      <vt:lpstr>Figure S11</vt:lpstr>
    </vt:vector>
  </TitlesOfParts>
  <Company>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Ali</dc:creator>
  <cp:lastModifiedBy>Alexys M McGuire</cp:lastModifiedBy>
  <dcterms:created xsi:type="dcterms:W3CDTF">2016-01-19T17:24:35Z</dcterms:created>
  <dcterms:modified xsi:type="dcterms:W3CDTF">2023-01-30T21:04:54Z</dcterms:modified>
</cp:coreProperties>
</file>